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итул" sheetId="1" state="visible" r:id="rId1"/>
    <sheet xmlns:r="http://schemas.openxmlformats.org/officeDocument/2006/relationships" name="Нормальный закон" sheetId="2" state="visible" r:id="rId2"/>
    <sheet xmlns:r="http://schemas.openxmlformats.org/officeDocument/2006/relationships" name="Экспоненциальный закон" sheetId="3" state="visible" r:id="rId3"/>
    <sheet xmlns:r="http://schemas.openxmlformats.org/officeDocument/2006/relationships" name="Закон Вейбулла" sheetId="4" state="visible" r:id="rId4"/>
    <sheet xmlns:r="http://schemas.openxmlformats.org/officeDocument/2006/relationships" name="Графики" sheetId="5" state="visible" r:id="rId5"/>
    <sheet xmlns:r="http://schemas.openxmlformats.org/officeDocument/2006/relationships" name="Сводка ответов" sheetId="6" state="visible" r:id="rId6"/>
    <sheet xmlns:r="http://schemas.openxmlformats.org/officeDocument/2006/relationships" name="Контрольные вопрос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000"/>
    <numFmt numFmtId="166" formatCode="#,##0.0"/>
    <numFmt numFmtId="167" formatCode="0.0"/>
    <numFmt numFmtId="168" formatCode="0.00000"/>
    <numFmt numFmtId="169" formatCode="0.000000"/>
  </numFmts>
  <fonts count="17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i val="1"/>
      <color rgb="00000000"/>
      <sz val="11"/>
    </font>
    <font>
      <name val="Times New Roman"/>
      <b val="1"/>
      <color rgb="001B4D4F"/>
      <sz val="10"/>
    </font>
    <font>
      <name val="Times New Roman"/>
      <color rgb="00000000"/>
      <sz val="11"/>
    </font>
    <font>
      <name val="Times New Roman"/>
      <color rgb="000000FF"/>
      <sz val="11"/>
    </font>
    <font>
      <name val="Times New Roman"/>
      <color rgb="00000000"/>
      <sz val="10"/>
    </font>
    <font>
      <name val="Times New Roman"/>
      <i val="1"/>
      <color rgb="00555555"/>
      <sz val="10"/>
    </font>
    <font>
      <name val="Times New Roman"/>
      <b val="1"/>
      <color rgb="00FFFFFF"/>
      <sz val="10"/>
    </font>
    <font>
      <name val="Times New Roman"/>
      <b val="1"/>
      <color rgb="00000000"/>
      <sz val="11"/>
    </font>
    <font>
      <name val="Times New Roman"/>
      <b val="1"/>
      <color rgb="001B4D4F"/>
      <sz val="12"/>
    </font>
    <font>
      <name val="Times New Roman"/>
      <b val="1"/>
      <color rgb="001B4D4F"/>
      <sz val="13"/>
    </font>
    <font>
      <name val="Times New Roman"/>
      <b val="1"/>
      <color rgb="00FFFFFF"/>
      <sz val="11"/>
    </font>
    <font>
      <name val="Times New Roman"/>
      <b val="1"/>
      <color rgb="001B4D4F"/>
      <sz val="18"/>
    </font>
    <font>
      <name val="Times New Roman"/>
      <b val="1"/>
      <color rgb="00000000"/>
      <sz val="13"/>
    </font>
    <font>
      <name val="Times New Roman"/>
      <b val="1"/>
      <color rgb="001B4D4F"/>
      <sz val="11"/>
    </font>
    <font>
      <name val="Times New Roman"/>
      <i val="1"/>
      <color rgb="00555555"/>
      <sz val="11"/>
    </font>
  </fonts>
  <fills count="9">
    <fill>
      <patternFill/>
    </fill>
    <fill>
      <patternFill patternType="gray125"/>
    </fill>
    <fill>
      <patternFill patternType="solid">
        <fgColor rgb="001B4D4F"/>
      </patternFill>
    </fill>
    <fill>
      <patternFill patternType="solid">
        <fgColor rgb="00E3EFED"/>
      </patternFill>
    </fill>
    <fill>
      <patternFill patternType="solid">
        <fgColor rgb="00DCEBF7"/>
      </patternFill>
    </fill>
    <fill>
      <patternFill patternType="solid">
        <fgColor rgb="002E6B6E"/>
      </patternFill>
    </fill>
    <fill>
      <patternFill patternType="solid">
        <fgColor rgb="00FCE4D6"/>
      </patternFill>
    </fill>
    <fill>
      <patternFill patternType="solid">
        <fgColor rgb="00F4F8F7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9DB5B3"/>
      </left>
      <right style="thin">
        <color rgb="009DB5B3"/>
      </right>
      <top style="thin">
        <color rgb="009DB5B3"/>
      </top>
      <bottom style="thin">
        <color rgb="009DB5B3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9" fillId="3" borderId="1" pivotButton="0" quotePrefix="0" xfId="0"/>
    <xf numFmtId="0" fontId="4" fillId="0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15" fillId="0" borderId="0" pivotButton="0" quotePrefix="0" xfId="0"/>
    <xf numFmtId="0" fontId="4" fillId="0" borderId="0" pivotButton="0" quotePrefix="0" xfId="0"/>
    <xf numFmtId="0" fontId="16" fillId="0" borderId="0" pivotButton="0" quotePrefix="0" xfId="0"/>
    <xf numFmtId="0" fontId="5" fillId="4" borderId="0" pivotButton="0" quotePrefix="0" xfId="0"/>
    <xf numFmtId="0" fontId="9" fillId="6" borderId="0" pivotButton="0" quotePrefix="0" xfId="0"/>
    <xf numFmtId="0" fontId="4" fillId="8" borderId="0" pivotButton="0" quotePrefix="0" xfId="0"/>
    <xf numFmtId="0" fontId="1" fillId="2" borderId="0" applyAlignment="1" pivotButton="0" quotePrefix="0" xfId="0">
      <alignment vertical="center" indent="1"/>
    </xf>
    <xf numFmtId="0" fontId="3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center" wrapText="1"/>
    </xf>
    <xf numFmtId="3" fontId="5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0" fillId="0" borderId="1" pivotButton="0" quotePrefix="0" xfId="0"/>
    <xf numFmtId="0" fontId="8" fillId="5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9" fillId="6" borderId="1" applyAlignment="1" pivotButton="0" quotePrefix="0" xfId="0">
      <alignment vertical="center" wrapText="1"/>
    </xf>
    <xf numFmtId="166" fontId="9" fillId="6" borderId="1" applyAlignment="1" pivotButton="0" quotePrefix="0" xfId="0">
      <alignment horizontal="right" vertical="center"/>
    </xf>
    <xf numFmtId="1" fontId="5" fillId="4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9" fontId="5" fillId="4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center"/>
    </xf>
    <xf numFmtId="11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right" vertical="center"/>
    </xf>
    <xf numFmtId="1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" fontId="9" fillId="6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168" fontId="9" fillId="6" borderId="1" applyAlignment="1" pivotButton="0" quotePrefix="0" xfId="0">
      <alignment horizontal="right" vertical="center"/>
    </xf>
    <xf numFmtId="11" fontId="9" fillId="6" borderId="1" applyAlignment="1" pivotButton="0" quotePrefix="0" xfId="0">
      <alignment horizontal="right" vertical="center"/>
    </xf>
    <xf numFmtId="4" fontId="9" fillId="6" borderId="1" applyAlignment="1" pivotButton="0" quotePrefix="0" xfId="0">
      <alignment horizontal="right" vertical="center"/>
    </xf>
    <xf numFmtId="11" fontId="4" fillId="0" borderId="1" applyAlignment="1" pivotButton="0" quotePrefix="0" xfId="0">
      <alignment horizontal="right" vertical="center"/>
    </xf>
    <xf numFmtId="169" fontId="4" fillId="0" borderId="1" applyAlignment="1" pivotButton="0" quotePrefix="0" xfId="0">
      <alignment horizontal="right" vertical="center"/>
    </xf>
    <xf numFmtId="169" fontId="9" fillId="6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11" fontId="5" fillId="4" borderId="1" applyAlignment="1" pivotButton="0" quotePrefix="0" xfId="0">
      <alignment horizontal="right" vertical="center"/>
    </xf>
    <xf numFmtId="0" fontId="10" fillId="0" borderId="0" pivotButton="0" quotePrefix="0" xfId="0"/>
    <xf numFmtId="3" fontId="4" fillId="0" borderId="1" applyAlignment="1" pivotButton="0" quotePrefix="0" xfId="0">
      <alignment horizontal="center"/>
    </xf>
    <xf numFmtId="0" fontId="11" fillId="0" borderId="0" pivotButton="0" quotePrefix="0" xfId="0"/>
    <xf numFmtId="0" fontId="8" fillId="5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6" fontId="9" fillId="0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7" borderId="1" applyAlignment="1" pivotButton="0" quotePrefix="0" xfId="0">
      <alignment horizontal="left"/>
    </xf>
    <xf numFmtId="166" fontId="9" fillId="7" borderId="1" applyAlignment="1" pivotButton="0" quotePrefix="0" xfId="0">
      <alignment horizontal="center"/>
    </xf>
    <xf numFmtId="3" fontId="9" fillId="7" borderId="1" applyAlignment="1" pivotButton="0" quotePrefix="0" xfId="0">
      <alignment horizontal="center"/>
    </xf>
    <xf numFmtId="165" fontId="9" fillId="0" borderId="1" applyAlignment="1" pivotButton="0" quotePrefix="0" xfId="0">
      <alignment horizontal="center"/>
    </xf>
    <xf numFmtId="165" fontId="9" fillId="7" borderId="1" applyAlignment="1" pivotButton="0" quotePrefix="0" xfId="0">
      <alignment horizontal="center"/>
    </xf>
    <xf numFmtId="11" fontId="9" fillId="7" borderId="1" applyAlignment="1" pivotButton="0" quotePrefix="0" xfId="0">
      <alignment horizontal="center"/>
    </xf>
    <xf numFmtId="11" fontId="9" fillId="0" borderId="1" applyAlignment="1" pivotButton="0" quotePrefix="0" xfId="0">
      <alignment horizontal="center"/>
    </xf>
    <xf numFmtId="1" fontId="9" fillId="0" borderId="1" applyAlignment="1" pivotButton="0" quotePrefix="0" xfId="0">
      <alignment horizontal="center"/>
    </xf>
    <xf numFmtId="1" fontId="9" fillId="7" borderId="1" applyAlignment="1" pivotButton="0" quotePrefix="0" xfId="0">
      <alignment horizontal="center"/>
    </xf>
    <xf numFmtId="169" fontId="9" fillId="7" borderId="1" applyAlignment="1" pivotButton="0" quotePrefix="0" xfId="0">
      <alignment horizontal="center"/>
    </xf>
    <xf numFmtId="169" fontId="9" fillId="0" borderId="1" applyAlignment="1" pivotButton="0" quotePrefix="0" xfId="0">
      <alignment horizontal="center"/>
    </xf>
    <xf numFmtId="168" fontId="9" fillId="0" borderId="1" applyAlignment="1" pivotButton="0" quotePrefix="0" xfId="0">
      <alignment horizontal="center"/>
    </xf>
    <xf numFmtId="3" fontId="9" fillId="0" borderId="1" applyAlignment="1" pivotButton="0" quotePrefix="0" xfId="0">
      <alignment horizontal="center"/>
    </xf>
    <xf numFmtId="4" fontId="9" fillId="7" borderId="1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Нормальный закон (задача 4.4): P(t) и Q(t)</a:t>
            </a:r>
          </a:p>
        </rich>
      </tx>
    </title>
    <plotArea>
      <scatterChart>
        <ser>
          <idx val="0"/>
          <order val="0"/>
          <tx>
            <strRef>
              <f>'Графики'!B3</f>
            </strRef>
          </tx>
          <spPr>
            <a:ln xmlns:a="http://schemas.openxmlformats.org/drawingml/2006/main" w="2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'Графики'!$A$4:$A$24</f>
            </numRef>
          </xVal>
          <yVal>
            <numRef>
              <f>'Графики'!$B$4:$B$24</f>
            </numRef>
          </yVal>
          <smooth val="0"/>
        </ser>
        <ser>
          <idx val="1"/>
          <order val="1"/>
          <tx>
            <strRef>
              <f>'Графики'!C3</f>
            </strRef>
          </tx>
          <spPr>
            <a:ln xmlns:a="http://schemas.openxmlformats.org/drawingml/2006/main" w="2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'Графики'!$A$4:$A$24</f>
            </numRef>
          </xVal>
          <yVal>
            <numRef>
              <f>'Графики'!$C$4:$C$24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Наработка t, ч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Вероятность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Сравнение P(t): Вейбулл (4.11) и экспонента (4.13)</a:t>
            </a:r>
          </a:p>
        </rich>
      </tx>
    </title>
    <plotArea>
      <scatterChart>
        <ser>
          <idx val="0"/>
          <order val="0"/>
          <tx>
            <strRef>
              <f>'Графики'!F3</f>
            </strRef>
          </tx>
          <spPr>
            <a:ln xmlns:a="http://schemas.openxmlformats.org/drawingml/2006/main" w="2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'Графики'!$E$4:$E$24</f>
            </numRef>
          </xVal>
          <yVal>
            <numRef>
              <f>'Графики'!$F$4:$F$24</f>
            </numRef>
          </yVal>
          <smooth val="0"/>
        </ser>
        <ser>
          <idx val="1"/>
          <order val="1"/>
          <tx>
            <strRef>
              <f>'Графики'!G3</f>
            </strRef>
          </tx>
          <spPr>
            <a:ln xmlns:a="http://schemas.openxmlformats.org/drawingml/2006/main" w="2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'Графики'!$E$4:$E$24</f>
            </numRef>
          </xVal>
          <yVal>
            <numRef>
              <f>'Графики'!$G$4:$G$24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Наработка t, ч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Вероятность безотказной работы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Сравнение λ(t): Вейбулл и экспонента</a:t>
            </a:r>
          </a:p>
        </rich>
      </tx>
    </title>
    <plotArea>
      <scatterChart>
        <ser>
          <idx val="0"/>
          <order val="0"/>
          <tx>
            <strRef>
              <f>'Графики'!H3</f>
            </strRef>
          </tx>
          <spPr>
            <a:ln xmlns:a="http://schemas.openxmlformats.org/drawingml/2006/main" w="2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'Графики'!$E$4:$E$24</f>
            </numRef>
          </xVal>
          <yVal>
            <numRef>
              <f>'Графики'!$H$4:$H$24</f>
            </numRef>
          </yVal>
          <smooth val="0"/>
        </ser>
        <ser>
          <idx val="1"/>
          <order val="1"/>
          <tx>
            <strRef>
              <f>'Графики'!I3</f>
            </strRef>
          </tx>
          <spPr>
            <a:ln xmlns:a="http://schemas.openxmlformats.org/drawingml/2006/main" w="2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'Графики'!$E$4:$E$24</f>
            </numRef>
          </xVal>
          <yVal>
            <numRef>
              <f>'Графики'!$I$4:$I$24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Наработка t, ч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Интенсивность отказов, 1/ч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558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26</row>
      <rowOff>0</rowOff>
    </from>
    <ext cx="558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44</row>
      <rowOff>0</rowOff>
    </from>
    <ext cx="558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2" customWidth="1" min="3" max="3"/>
  </cols>
  <sheetData>
    <row r="3">
      <c r="B3" s="1" t="inlineStr">
        <is>
          <t>ПРАКТИЧЕСКАЯ РАБОТА № 9</t>
        </is>
      </c>
    </row>
    <row r="4">
      <c r="B4" s="2" t="inlineStr">
        <is>
          <t>Определение показателей долговечности системы</t>
        </is>
      </c>
    </row>
    <row r="5">
      <c r="B5" s="3" t="inlineStr">
        <is>
          <t>Дисциплина: ИТПСИС</t>
        </is>
      </c>
    </row>
    <row r="7" ht="36" customHeight="1">
      <c r="B7" s="4" t="inlineStr">
        <is>
          <t>Цель работы</t>
        </is>
      </c>
      <c r="C7" s="5" t="inlineStr">
        <is>
          <t>Освоить расчёт показателей надёжности для нормального, экспоненциального законов и закона Вейбулла и уметь давать характеристику полученным показателям.</t>
        </is>
      </c>
    </row>
    <row r="8" ht="20" customHeight="1">
      <c r="B8" s="4" t="inlineStr">
        <is>
          <t>Выполнил(а)</t>
        </is>
      </c>
      <c r="C8" s="6" t="inlineStr"/>
    </row>
    <row r="9" ht="20" customHeight="1">
      <c r="B9" s="4" t="inlineStr">
        <is>
          <t>Группа</t>
        </is>
      </c>
      <c r="C9" s="6" t="inlineStr"/>
    </row>
    <row r="10" ht="20" customHeight="1">
      <c r="B10" s="4" t="inlineStr">
        <is>
          <t>Дата</t>
        </is>
      </c>
      <c r="C10" s="6" t="inlineStr"/>
    </row>
    <row r="11" ht="20" customHeight="1">
      <c r="B11" s="4" t="inlineStr">
        <is>
          <t>Преподаватель</t>
        </is>
      </c>
      <c r="C11" s="6" t="inlineStr"/>
    </row>
    <row r="13">
      <c r="B13" s="7" t="inlineStr">
        <is>
          <t>Содержание книги</t>
        </is>
      </c>
    </row>
    <row r="14">
      <c r="B14" s="8" t="inlineStr">
        <is>
          <t>Нормальный закон</t>
        </is>
      </c>
      <c r="C14" s="9" t="inlineStr">
        <is>
          <t>задачи 4.1–4.7, 4.9, 4.10, 4.15</t>
        </is>
      </c>
    </row>
    <row r="15">
      <c r="B15" s="8" t="inlineStr">
        <is>
          <t>Экспоненциальный закон</t>
        </is>
      </c>
      <c r="C15" s="9" t="inlineStr">
        <is>
          <t>задачи 4.8, 4.12, 4.13</t>
        </is>
      </c>
    </row>
    <row r="16">
      <c r="B16" s="8" t="inlineStr">
        <is>
          <t>Закон Вейбулла</t>
        </is>
      </c>
      <c r="C16" s="9" t="inlineStr">
        <is>
          <t>задачи 4.11, 4.14</t>
        </is>
      </c>
    </row>
    <row r="17">
      <c r="B17" s="8" t="inlineStr">
        <is>
          <t>Графики</t>
        </is>
      </c>
      <c r="C17" s="9" t="inlineStr">
        <is>
          <t>P(t), Q(t), λ(t) по расчётным данным</t>
        </is>
      </c>
    </row>
    <row r="18">
      <c r="B18" s="8" t="inlineStr">
        <is>
          <t>Сводка ответов</t>
        </is>
      </c>
      <c r="C18" s="9" t="inlineStr">
        <is>
          <t>все результаты на одном листе</t>
        </is>
      </c>
    </row>
    <row r="19">
      <c r="B19" s="8" t="inlineStr">
        <is>
          <t>Контрольные вопросы</t>
        </is>
      </c>
      <c r="C19" s="9" t="inlineStr">
        <is>
          <t>ответы на вопросы 1–11</t>
        </is>
      </c>
    </row>
    <row r="21">
      <c r="B21" s="7" t="inlineStr">
        <is>
          <t>Условные обозначения</t>
        </is>
      </c>
    </row>
    <row r="22">
      <c r="B22" s="10" t="inlineStr">
        <is>
          <t>Синий шрифт на голубом</t>
        </is>
      </c>
      <c r="C22" s="8" t="inlineStr">
        <is>
          <t>исходные данные из условия (можно менять — расчёт обновится)</t>
        </is>
      </c>
    </row>
    <row r="23">
      <c r="B23" s="11" t="inlineStr">
        <is>
          <t>Жирный на оранжевом</t>
        </is>
      </c>
      <c r="C23" s="8" t="inlineStr">
        <is>
          <t>итоговый ответ</t>
        </is>
      </c>
    </row>
    <row r="24">
      <c r="B24" s="12" t="inlineStr">
        <is>
          <t>Жёлтые ячейки на этом листе</t>
        </is>
      </c>
      <c r="C24" s="8" t="inlineStr">
        <is>
          <t>заполнить: ФИО, группа, дата, преподаватель</t>
        </is>
      </c>
    </row>
  </sheetData>
  <mergeCells count="3">
    <mergeCell ref="B3:C3"/>
    <mergeCell ref="B5:C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3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2" customHeight="1">
      <c r="A1" s="13" t="inlineStr">
        <is>
          <t>Задача 4.1. Наработки, отвечающие заданной вероятности отказа</t>
        </is>
      </c>
    </row>
    <row r="2" ht="17.5" customHeight="1">
      <c r="A2" s="14" t="inlineStr">
        <is>
          <t>Условие</t>
        </is>
      </c>
      <c r="B2" s="15" t="inlineStr">
        <is>
          <t>Mt = 2000 ч, σt = 400 ч, закон нормальный. Найти наработки t, при которых вероятность отказа Q равна 0,9; 0,5 и 0,005.</t>
        </is>
      </c>
    </row>
    <row r="3" ht="17.5" customHeight="1">
      <c r="A3" s="14" t="inlineStr">
        <is>
          <t>Дано</t>
        </is>
      </c>
      <c r="B3" s="16" t="inlineStr">
        <is>
          <t>Средняя наработка до отказа Mt</t>
        </is>
      </c>
      <c r="C3" s="17" t="n">
        <v>2000</v>
      </c>
      <c r="D3" s="18" t="inlineStr">
        <is>
          <t>ч</t>
        </is>
      </c>
      <c r="E3" s="19" t="inlineStr">
        <is>
          <t>задано</t>
        </is>
      </c>
      <c r="F3" s="20" t="n"/>
      <c r="G3" s="20" t="n"/>
      <c r="H3" s="20" t="n"/>
    </row>
    <row r="4" ht="17.5" customHeight="1">
      <c r="B4" s="16" t="inlineStr">
        <is>
          <t>Среднее квадратическое отклонение σt</t>
        </is>
      </c>
      <c r="C4" s="17" t="n">
        <v>400</v>
      </c>
      <c r="D4" s="18" t="inlineStr">
        <is>
          <t>ч</t>
        </is>
      </c>
      <c r="E4" s="19" t="inlineStr">
        <is>
          <t>задано</t>
        </is>
      </c>
      <c r="F4" s="20" t="n"/>
      <c r="G4" s="20" t="n"/>
      <c r="H4" s="20" t="n"/>
    </row>
    <row r="5" ht="33" customHeight="1">
      <c r="A5" s="14" t="inlineStr">
        <is>
          <t>Решение</t>
        </is>
      </c>
      <c r="B5" s="15" t="inlineStr">
        <is>
          <t>Для нормального закона Q = Φ(Uр), откуда Uр = Φ⁻¹(Q), а искомая наработка t = Mt + Uр·σt. Правый столбец — независимая проверка встроенной функцией НОРМОБР.</t>
        </is>
      </c>
    </row>
    <row r="6" ht="32" customHeight="1">
      <c r="B6" s="21" t="inlineStr">
        <is>
          <t>Заданная Q</t>
        </is>
      </c>
      <c r="C6" s="21" t="inlineStr">
        <is>
          <t>Квантиль Uр = Φ⁻¹(Q)</t>
        </is>
      </c>
      <c r="D6" s="21" t="inlineStr">
        <is>
          <t>t = Mt + Uр·σt, ч</t>
        </is>
      </c>
      <c r="E6" s="21" t="inlineStr">
        <is>
          <t>Проверка: НОРМОБР(Q; Mt; σt), ч</t>
        </is>
      </c>
    </row>
    <row r="7">
      <c r="B7" s="22" t="n">
        <v>0.9</v>
      </c>
      <c r="C7" s="23">
        <f>NORMSINV(B7)</f>
        <v/>
      </c>
      <c r="D7" s="24">
        <f>$C$3+C7*$C$4</f>
        <v/>
      </c>
      <c r="E7" s="24">
        <f>NORMINV(B7,$C$3,$C$4)</f>
        <v/>
      </c>
    </row>
    <row r="8">
      <c r="B8" s="22" t="n">
        <v>0.5</v>
      </c>
      <c r="C8" s="23">
        <f>NORMSINV(B8)</f>
        <v/>
      </c>
      <c r="D8" s="24">
        <f>$C$3+C8*$C$4</f>
        <v/>
      </c>
      <c r="E8" s="24">
        <f>NORMINV(B8,$C$3,$C$4)</f>
        <v/>
      </c>
    </row>
    <row r="9">
      <c r="B9" s="22" t="n">
        <v>0.005</v>
      </c>
      <c r="C9" s="23">
        <f>NORMSINV(B9)</f>
        <v/>
      </c>
      <c r="D9" s="24">
        <f>$C$3+C9*$C$4</f>
        <v/>
      </c>
      <c r="E9" s="24">
        <f>NORMINV(B9,$C$3,$C$4)</f>
        <v/>
      </c>
    </row>
    <row r="10" ht="17.5" customHeight="1">
      <c r="A10" s="14" t="inlineStr">
        <is>
          <t>Ответ</t>
        </is>
      </c>
      <c r="B10" s="25" t="inlineStr">
        <is>
          <t>Ответ: t при Q = 0,9</t>
        </is>
      </c>
      <c r="C10" s="26">
        <f>D7</f>
        <v/>
      </c>
      <c r="D10" s="18" t="inlineStr">
        <is>
          <t>ч</t>
        </is>
      </c>
      <c r="E10" s="19" t="inlineStr"/>
      <c r="F10" s="20" t="n"/>
      <c r="G10" s="20" t="n"/>
      <c r="H10" s="20" t="n"/>
    </row>
    <row r="11" ht="17.5" customHeight="1">
      <c r="B11" s="25" t="inlineStr">
        <is>
          <t>Ответ: t при Q = 0,5</t>
        </is>
      </c>
      <c r="C11" s="26">
        <f>D8</f>
        <v/>
      </c>
      <c r="D11" s="18" t="inlineStr">
        <is>
          <t>ч</t>
        </is>
      </c>
      <c r="E11" s="19" t="inlineStr">
        <is>
          <t>совпадает с Mt, так как Uр = 0</t>
        </is>
      </c>
      <c r="F11" s="20" t="n"/>
      <c r="G11" s="20" t="n"/>
      <c r="H11" s="20" t="n"/>
    </row>
    <row r="12" ht="17.5" customHeight="1">
      <c r="B12" s="25" t="inlineStr">
        <is>
          <t>Ответ: t при Q = 0,005</t>
        </is>
      </c>
      <c r="C12" s="26">
        <f>D9</f>
        <v/>
      </c>
      <c r="D12" s="18" t="inlineStr">
        <is>
          <t>ч</t>
        </is>
      </c>
      <c r="E12" s="19" t="inlineStr"/>
      <c r="F12" s="20" t="n"/>
      <c r="G12" s="20" t="n"/>
      <c r="H12" s="20" t="n"/>
    </row>
    <row r="14" ht="22" customHeight="1">
      <c r="A14" s="13" t="inlineStr">
        <is>
          <t>Задача 4.2. Средний ресурс по предельно допустимому значению</t>
        </is>
      </c>
    </row>
    <row r="15" ht="33" customHeight="1">
      <c r="A15" s="14" t="inlineStr">
        <is>
          <t>Условие</t>
        </is>
      </c>
      <c r="B15" s="15" t="inlineStr">
        <is>
          <t>Предельно допустимое значение ресурса 7000 ч, σt = 1000 ч. Найти средний ресурс, вероятность отказа и вероятность безотказной работы при t = 5000 ч.</t>
        </is>
      </c>
    </row>
    <row r="16" ht="17.5" customHeight="1">
      <c r="A16" s="14" t="inlineStr">
        <is>
          <t>Дано</t>
        </is>
      </c>
      <c r="B16" s="16" t="inlineStr">
        <is>
          <t>Предельно допустимый ресурс tпред</t>
        </is>
      </c>
      <c r="C16" s="17" t="n">
        <v>7000</v>
      </c>
      <c r="D16" s="18" t="inlineStr">
        <is>
          <t>ч</t>
        </is>
      </c>
      <c r="E16" s="19" t="inlineStr">
        <is>
          <t>задано</t>
        </is>
      </c>
      <c r="F16" s="20" t="n"/>
      <c r="G16" s="20" t="n"/>
      <c r="H16" s="20" t="n"/>
    </row>
    <row r="17" ht="17.5" customHeight="1">
      <c r="B17" s="16" t="inlineStr">
        <is>
          <t>Среднее квадратическое отклонение σt</t>
        </is>
      </c>
      <c r="C17" s="17" t="n">
        <v>1000</v>
      </c>
      <c r="D17" s="18" t="inlineStr">
        <is>
          <t>ч</t>
        </is>
      </c>
      <c r="E17" s="19" t="inlineStr">
        <is>
          <t>задано</t>
        </is>
      </c>
      <c r="F17" s="20" t="n"/>
      <c r="G17" s="20" t="n"/>
      <c r="H17" s="20" t="n"/>
    </row>
    <row r="18" ht="32" customHeight="1">
      <c r="B18" s="16" t="inlineStr">
        <is>
          <t>Число сигм k</t>
        </is>
      </c>
      <c r="C18" s="27" t="n">
        <v>3</v>
      </c>
      <c r="D18" s="18" t="inlineStr"/>
      <c r="E18" s="19" t="inlineStr">
        <is>
          <t>правило «трёх сигм»: практически весь разброс лежит в пределах Mt ± 3σ</t>
        </is>
      </c>
      <c r="F18" s="20" t="n"/>
      <c r="G18" s="20" t="n"/>
      <c r="H18" s="20" t="n"/>
    </row>
    <row r="19" ht="17.5" customHeight="1">
      <c r="B19" s="16" t="inlineStr">
        <is>
          <t>Рассматриваемая наработка t</t>
        </is>
      </c>
      <c r="C19" s="17" t="n">
        <v>5000</v>
      </c>
      <c r="D19" s="18" t="inlineStr">
        <is>
          <t>ч</t>
        </is>
      </c>
      <c r="E19" s="19" t="inlineStr">
        <is>
          <t>задано</t>
        </is>
      </c>
      <c r="F19" s="20" t="n"/>
      <c r="G19" s="20" t="n"/>
      <c r="H19" s="20" t="n"/>
    </row>
    <row r="20" ht="17.5" customHeight="1">
      <c r="A20" s="14" t="inlineStr">
        <is>
          <t>Решение</t>
        </is>
      </c>
      <c r="B20" s="16" t="inlineStr">
        <is>
          <t>Средний ресурс Mt = tпред − k·σt</t>
        </is>
      </c>
      <c r="C20" s="28">
        <f>$C$16-$C$18*$C$17</f>
        <v/>
      </c>
      <c r="D20" s="18" t="inlineStr">
        <is>
          <t>ч</t>
        </is>
      </c>
      <c r="E20" s="19" t="inlineStr">
        <is>
          <t>предельное значение — верхняя граница Mt + 3σ</t>
        </is>
      </c>
      <c r="F20" s="20" t="n"/>
      <c r="G20" s="20" t="n"/>
      <c r="H20" s="20" t="n"/>
    </row>
    <row r="21" ht="17.5" customHeight="1">
      <c r="B21" s="16" t="inlineStr">
        <is>
          <t>Квантиль Uр = (t − Mt)/σt</t>
        </is>
      </c>
      <c r="C21" s="29">
        <f>($C$19-$C$20)/$C$17</f>
        <v/>
      </c>
      <c r="D21" s="18" t="inlineStr"/>
      <c r="E21" s="19" t="inlineStr"/>
      <c r="F21" s="20" t="n"/>
      <c r="G21" s="20" t="n"/>
      <c r="H21" s="20" t="n"/>
    </row>
    <row r="22" ht="17.5" customHeight="1">
      <c r="B22" s="16" t="inlineStr">
        <is>
          <t>Вероятность отказа Q(t) = Φ(Uр)</t>
        </is>
      </c>
      <c r="C22" s="29">
        <f>NORMDIST($C$19,$C$20,$C$17,TRUE)</f>
        <v/>
      </c>
      <c r="D22" s="18" t="inlineStr"/>
      <c r="E22" s="19" t="inlineStr">
        <is>
          <t>функция НОРМРАСП с интегральным признаком</t>
        </is>
      </c>
      <c r="F22" s="20" t="n"/>
      <c r="G22" s="20" t="n"/>
      <c r="H22" s="20" t="n"/>
    </row>
    <row r="23" ht="17.5" customHeight="1">
      <c r="B23" s="16" t="inlineStr">
        <is>
          <t>Вероятность безотказной работы P(t) = 1 − Q(t)</t>
        </is>
      </c>
      <c r="C23" s="29">
        <f>1-$C$22</f>
        <v/>
      </c>
      <c r="D23" s="18" t="inlineStr"/>
      <c r="E23" s="19" t="inlineStr"/>
      <c r="F23" s="20" t="n"/>
      <c r="G23" s="20" t="n"/>
      <c r="H23" s="20" t="n"/>
    </row>
    <row r="24" ht="17.5" customHeight="1">
      <c r="A24" s="14" t="inlineStr">
        <is>
          <t>Ответ</t>
        </is>
      </c>
      <c r="B24" s="25" t="inlineStr">
        <is>
          <t>Ответ: средний ресурс Mt</t>
        </is>
      </c>
      <c r="C24" s="30">
        <f>$C$20</f>
        <v/>
      </c>
      <c r="D24" s="18" t="inlineStr">
        <is>
          <t>ч</t>
        </is>
      </c>
      <c r="E24" s="19" t="inlineStr"/>
      <c r="F24" s="20" t="n"/>
      <c r="G24" s="20" t="n"/>
      <c r="H24" s="20" t="n"/>
    </row>
    <row r="25" ht="17.5" customHeight="1">
      <c r="B25" s="25" t="inlineStr">
        <is>
          <t>Ответ: вероятность отказа Q(5000 ч)</t>
        </is>
      </c>
      <c r="C25" s="31">
        <f>$C$22</f>
        <v/>
      </c>
      <c r="D25" s="18" t="inlineStr"/>
      <c r="E25" s="19" t="inlineStr"/>
      <c r="F25" s="20" t="n"/>
      <c r="G25" s="20" t="n"/>
      <c r="H25" s="20" t="n"/>
    </row>
    <row r="26" ht="32" customHeight="1">
      <c r="B26" s="25" t="inlineStr">
        <is>
          <t>Ответ: вероятность безотказной работы P(5000 ч)</t>
        </is>
      </c>
      <c r="C26" s="31">
        <f>$C$23</f>
        <v/>
      </c>
      <c r="D26" s="18" t="inlineStr"/>
      <c r="E26" s="19" t="inlineStr"/>
      <c r="F26" s="20" t="n"/>
      <c r="G26" s="20" t="n"/>
      <c r="H26" s="20" t="n"/>
    </row>
    <row r="28" ht="22" customHeight="1">
      <c r="A28" s="13" t="inlineStr">
        <is>
          <t>Задача 4.3. Вероятность превышения износом среднего значения не более чем на 5 %</t>
        </is>
      </c>
    </row>
    <row r="29" ht="33" customHeight="1">
      <c r="A29" s="14" t="inlineStr">
        <is>
          <t>Условие</t>
        </is>
      </c>
      <c r="B29" s="15" t="inlineStr">
        <is>
          <t>Средняя величина износа клыка роторного экскаватора 5 мм, дисперсия 0,01 мм². Найти вероятность того, что износ превышает среднее значение не более чем на 5 %.</t>
        </is>
      </c>
    </row>
    <row r="30" ht="17.5" customHeight="1">
      <c r="A30" s="14" t="inlineStr">
        <is>
          <t>Дано</t>
        </is>
      </c>
      <c r="B30" s="16" t="inlineStr">
        <is>
          <t>Средний износ M</t>
        </is>
      </c>
      <c r="C30" s="32" t="n">
        <v>5</v>
      </c>
      <c r="D30" s="18" t="inlineStr">
        <is>
          <t>мм</t>
        </is>
      </c>
      <c r="E30" s="19" t="inlineStr">
        <is>
          <t>задано</t>
        </is>
      </c>
      <c r="F30" s="20" t="n"/>
      <c r="G30" s="20" t="n"/>
      <c r="H30" s="20" t="n"/>
    </row>
    <row r="31" ht="17.5" customHeight="1">
      <c r="B31" s="16" t="inlineStr">
        <is>
          <t>Дисперсия D</t>
        </is>
      </c>
      <c r="C31" s="32" t="n">
        <v>0.01</v>
      </c>
      <c r="D31" s="18" t="inlineStr">
        <is>
          <t>мм²</t>
        </is>
      </c>
      <c r="E31" s="19" t="inlineStr">
        <is>
          <t>задано</t>
        </is>
      </c>
      <c r="F31" s="20" t="n"/>
      <c r="G31" s="20" t="n"/>
      <c r="H31" s="20" t="n"/>
    </row>
    <row r="32" ht="17.5" customHeight="1">
      <c r="B32" s="16" t="inlineStr">
        <is>
          <t>Допустимое превышение δ</t>
        </is>
      </c>
      <c r="C32" s="33" t="n">
        <v>0.05</v>
      </c>
      <c r="D32" s="18" t="inlineStr"/>
      <c r="E32" s="19" t="inlineStr">
        <is>
          <t>5 % от среднего</t>
        </is>
      </c>
      <c r="F32" s="20" t="n"/>
      <c r="G32" s="20" t="n"/>
      <c r="H32" s="20" t="n"/>
    </row>
    <row r="33" ht="17.5" customHeight="1">
      <c r="A33" s="14" t="inlineStr">
        <is>
          <t>Решение</t>
        </is>
      </c>
      <c r="B33" s="16" t="inlineStr">
        <is>
          <t>СКО σ = √D</t>
        </is>
      </c>
      <c r="C33" s="34">
        <f>SQRT($C$31)</f>
        <v/>
      </c>
      <c r="D33" s="18" t="inlineStr">
        <is>
          <t>мм</t>
        </is>
      </c>
      <c r="E33" s="19" t="inlineStr"/>
      <c r="F33" s="20" t="n"/>
      <c r="G33" s="20" t="n"/>
      <c r="H33" s="20" t="n"/>
    </row>
    <row r="34" ht="17.5" customHeight="1">
      <c r="B34" s="16" t="inlineStr">
        <is>
          <t>Верхняя граница x = M·(1 + δ)</t>
        </is>
      </c>
      <c r="C34" s="34">
        <f>$C$30*(1+$C$32)</f>
        <v/>
      </c>
      <c r="D34" s="18" t="inlineStr">
        <is>
          <t>мм</t>
        </is>
      </c>
      <c r="E34" s="19" t="inlineStr">
        <is>
          <t>нужна вероятность P(M &lt; X ≤ x)</t>
        </is>
      </c>
      <c r="F34" s="20" t="n"/>
      <c r="G34" s="20" t="n"/>
      <c r="H34" s="20" t="n"/>
    </row>
    <row r="35" ht="17.5" customHeight="1">
      <c r="B35" s="16" t="inlineStr">
        <is>
          <t>Квантиль U = (x − M)/σ</t>
        </is>
      </c>
      <c r="C35" s="29">
        <f>($C$34-$C$30)/$C$33</f>
        <v/>
      </c>
      <c r="D35" s="18" t="inlineStr"/>
      <c r="E35" s="19" t="inlineStr"/>
      <c r="F35" s="20" t="n"/>
      <c r="G35" s="20" t="n"/>
      <c r="H35" s="20" t="n"/>
    </row>
    <row r="36" ht="17.5" customHeight="1">
      <c r="B36" s="16" t="inlineStr">
        <is>
          <t>P(M &lt; X ≤ x) = Φ(U) − Φ(0)</t>
        </is>
      </c>
      <c r="C36" s="29">
        <f>NORMDIST($C$35,0,1,TRUE)-NORMDIST(0,0,1,TRUE)</f>
        <v/>
      </c>
      <c r="D36" s="18" t="inlineStr"/>
      <c r="E36" s="19" t="inlineStr">
        <is>
          <t>Φ(0) = 0,5</t>
        </is>
      </c>
      <c r="F36" s="20" t="n"/>
      <c r="G36" s="20" t="n"/>
      <c r="H36" s="20" t="n"/>
    </row>
    <row r="37" ht="17.5" customHeight="1">
      <c r="A37" s="14" t="inlineStr">
        <is>
          <t>Ответ</t>
        </is>
      </c>
      <c r="B37" s="25" t="inlineStr">
        <is>
          <t>Ответ: вероятность P(M &lt; X ≤ 1,05·M)</t>
        </is>
      </c>
      <c r="C37" s="31">
        <f>$C$36</f>
        <v/>
      </c>
      <c r="D37" s="18" t="inlineStr"/>
      <c r="E37" s="19" t="inlineStr">
        <is>
          <t>≈ 49 %</t>
        </is>
      </c>
      <c r="F37" s="20" t="n"/>
      <c r="G37" s="20" t="n"/>
      <c r="H37" s="20" t="n"/>
    </row>
    <row r="39" ht="22" customHeight="1">
      <c r="A39" s="13" t="inlineStr">
        <is>
          <t>Задача 4.4. Показатели надёжности по средней наработке и коэффициенту вариации</t>
        </is>
      </c>
    </row>
    <row r="40" ht="33" customHeight="1">
      <c r="A40" s="14" t="inlineStr">
        <is>
          <t>Условие</t>
        </is>
      </c>
      <c r="B40" s="15" t="inlineStr">
        <is>
          <t>Средняя наработка на отказ 1500 ч, коэффициент вариации 0,3. Определить показатели надёжности для наработок 1000, 2000 и 3000 ч.</t>
        </is>
      </c>
    </row>
    <row r="41" ht="17.5" customHeight="1">
      <c r="A41" s="14" t="inlineStr">
        <is>
          <t>Дано</t>
        </is>
      </c>
      <c r="B41" s="16" t="inlineStr">
        <is>
          <t>Средняя наработка на отказ Mt</t>
        </is>
      </c>
      <c r="C41" s="17" t="n">
        <v>1500</v>
      </c>
      <c r="D41" s="18" t="inlineStr">
        <is>
          <t>ч</t>
        </is>
      </c>
      <c r="E41" s="19" t="inlineStr">
        <is>
          <t>задано</t>
        </is>
      </c>
      <c r="F41" s="20" t="n"/>
      <c r="G41" s="20" t="n"/>
      <c r="H41" s="20" t="n"/>
    </row>
    <row r="42" ht="17.5" customHeight="1">
      <c r="B42" s="16" t="inlineStr">
        <is>
          <t>Коэффициент вариации v</t>
        </is>
      </c>
      <c r="C42" s="32" t="n">
        <v>0.3</v>
      </c>
      <c r="D42" s="18" t="inlineStr"/>
      <c r="E42" s="19" t="inlineStr">
        <is>
          <t>задано</t>
        </is>
      </c>
      <c r="F42" s="20" t="n"/>
      <c r="G42" s="20" t="n"/>
      <c r="H42" s="20" t="n"/>
    </row>
    <row r="43" ht="17.5" customHeight="1">
      <c r="A43" s="14" t="inlineStr">
        <is>
          <t>Решение</t>
        </is>
      </c>
      <c r="B43" s="16" t="inlineStr">
        <is>
          <t>СКО σt = v·Mt</t>
        </is>
      </c>
      <c r="C43" s="28">
        <f>$C$42*$C$41</f>
        <v/>
      </c>
      <c r="D43" s="18" t="inlineStr">
        <is>
          <t>ч</t>
        </is>
      </c>
      <c r="E43" s="19" t="inlineStr">
        <is>
          <t>из определения v = σt/Mt</t>
        </is>
      </c>
      <c r="F43" s="20" t="n"/>
      <c r="G43" s="20" t="n"/>
      <c r="H43" s="20" t="n"/>
    </row>
    <row r="44" ht="32" customHeight="1">
      <c r="B44" s="21" t="inlineStr">
        <is>
          <t>t, ч</t>
        </is>
      </c>
      <c r="C44" s="21" t="inlineStr">
        <is>
          <t>Квантиль Uр = (t − Mt)/σt</t>
        </is>
      </c>
      <c r="D44" s="21" t="inlineStr">
        <is>
          <t>Q(t) = Φ(Uр)</t>
        </is>
      </c>
      <c r="E44" s="21" t="inlineStr">
        <is>
          <t>P(t) = 1 − Q(t)</t>
        </is>
      </c>
      <c r="F44" s="21" t="inlineStr">
        <is>
          <t>f(t) = φ(Uр)/σt, 1/ч</t>
        </is>
      </c>
      <c r="G44" s="21" t="inlineStr">
        <is>
          <t>λ(t) = f(t)/P(t), 1/ч</t>
        </is>
      </c>
    </row>
    <row r="45">
      <c r="B45" s="35" t="n">
        <v>1000</v>
      </c>
      <c r="C45" s="23">
        <f>(B45-$C$41)/$C$43</f>
        <v/>
      </c>
      <c r="D45" s="23">
        <f>NORMDIST(C45,0,1,TRUE)</f>
        <v/>
      </c>
      <c r="E45" s="23">
        <f>NORMDIST(-C45,0,1,TRUE)</f>
        <v/>
      </c>
      <c r="F45" s="36">
        <f>NORMDIST(C45,0,1,FALSE)/$C$43</f>
        <v/>
      </c>
      <c r="G45" s="36">
        <f>F45/E45</f>
        <v/>
      </c>
    </row>
    <row r="46">
      <c r="B46" s="35" t="n">
        <v>2000</v>
      </c>
      <c r="C46" s="23">
        <f>(B46-$C$41)/$C$43</f>
        <v/>
      </c>
      <c r="D46" s="23">
        <f>NORMDIST(C46,0,1,TRUE)</f>
        <v/>
      </c>
      <c r="E46" s="23">
        <f>NORMDIST(-C46,0,1,TRUE)</f>
        <v/>
      </c>
      <c r="F46" s="36">
        <f>NORMDIST(C46,0,1,FALSE)/$C$43</f>
        <v/>
      </c>
      <c r="G46" s="36">
        <f>F46/E46</f>
        <v/>
      </c>
    </row>
    <row r="47">
      <c r="B47" s="35" t="n">
        <v>3000</v>
      </c>
      <c r="C47" s="23">
        <f>(B47-$C$41)/$C$43</f>
        <v/>
      </c>
      <c r="D47" s="23">
        <f>NORMDIST(C47,0,1,TRUE)</f>
        <v/>
      </c>
      <c r="E47" s="23">
        <f>NORMDIST(-C47,0,1,TRUE)</f>
        <v/>
      </c>
      <c r="F47" s="36">
        <f>NORMDIST(C47,0,1,FALSE)/$C$43</f>
        <v/>
      </c>
      <c r="G47" s="36">
        <f>F47/E47</f>
        <v/>
      </c>
    </row>
    <row r="48" ht="32" customHeight="1">
      <c r="A48" s="14" t="inlineStr">
        <is>
          <t>Ответ</t>
        </is>
      </c>
      <c r="B48" s="25" t="inlineStr">
        <is>
          <t>Ответ: P(1000 ч); Q(1000 ч); λ(1000 ч) — см. строку таблицы</t>
        </is>
      </c>
      <c r="C48" s="31">
        <f>E45</f>
        <v/>
      </c>
      <c r="D48" s="18" t="inlineStr"/>
      <c r="E48" s="19" t="inlineStr">
        <is>
          <t>P(1000) в этой ячейке; Q = D45, λ = G45</t>
        </is>
      </c>
      <c r="F48" s="20" t="n"/>
      <c r="G48" s="20" t="n"/>
      <c r="H48" s="20" t="n"/>
    </row>
    <row r="49" ht="32" customHeight="1">
      <c r="B49" s="25" t="inlineStr">
        <is>
          <t>Ответ: P(2000 ч); Q(2000 ч); λ(2000 ч) — см. строку таблицы</t>
        </is>
      </c>
      <c r="C49" s="31">
        <f>E46</f>
        <v/>
      </c>
      <c r="D49" s="18" t="inlineStr"/>
      <c r="E49" s="19" t="inlineStr">
        <is>
          <t>P(2000) в этой ячейке; Q = D46, λ = G46</t>
        </is>
      </c>
      <c r="F49" s="20" t="n"/>
      <c r="G49" s="20" t="n"/>
      <c r="H49" s="20" t="n"/>
    </row>
    <row r="50" ht="32" customHeight="1">
      <c r="B50" s="25" t="inlineStr">
        <is>
          <t>Ответ: P(3000 ч); Q(3000 ч); λ(3000 ч) — см. строку таблицы</t>
        </is>
      </c>
      <c r="C50" s="31">
        <f>E47</f>
        <v/>
      </c>
      <c r="D50" s="18" t="inlineStr"/>
      <c r="E50" s="19" t="inlineStr">
        <is>
          <t>P(3000) в этой ячейке; Q = D47, λ = G47</t>
        </is>
      </c>
      <c r="F50" s="20" t="n"/>
      <c r="G50" s="20" t="n"/>
      <c r="H50" s="20" t="n"/>
    </row>
    <row r="51" ht="33" customHeight="1">
      <c r="A51" s="14" t="inlineStr">
        <is>
          <t>Вывод</t>
        </is>
      </c>
      <c r="B51" s="15" t="inlineStr">
        <is>
          <t>Вывод: с ростом наработки P(t) монотонно убывает, а Q(t) и λ(t) растут — интенсивность отказов нормального закона возрастает, что соответствует износовым отказам.</t>
        </is>
      </c>
    </row>
    <row r="53" ht="22" customHeight="1">
      <c r="A53" s="13" t="inlineStr">
        <is>
          <t>Задача 4.5. Показатели надёжности по СКО и коэффициенту вариации</t>
        </is>
      </c>
    </row>
    <row r="54" ht="17.5" customHeight="1">
      <c r="A54" s="14" t="inlineStr">
        <is>
          <t>Условие</t>
        </is>
      </c>
      <c r="B54" s="15" t="inlineStr">
        <is>
          <t>СКО ресурса 400 ч, коэффициент вариации 0,3. Определить показатели надёжности для наработок 1000, 2000 и 3000 ч.</t>
        </is>
      </c>
    </row>
    <row r="55" ht="17.5" customHeight="1">
      <c r="A55" s="14" t="inlineStr">
        <is>
          <t>Дано</t>
        </is>
      </c>
      <c r="B55" s="16" t="inlineStr">
        <is>
          <t>Среднее квадратическое отклонение σt</t>
        </is>
      </c>
      <c r="C55" s="17" t="n">
        <v>400</v>
      </c>
      <c r="D55" s="18" t="inlineStr">
        <is>
          <t>ч</t>
        </is>
      </c>
      <c r="E55" s="19" t="inlineStr">
        <is>
          <t>задано</t>
        </is>
      </c>
      <c r="F55" s="20" t="n"/>
      <c r="G55" s="20" t="n"/>
      <c r="H55" s="20" t="n"/>
    </row>
    <row r="56" ht="17.5" customHeight="1">
      <c r="B56" s="16" t="inlineStr">
        <is>
          <t>Коэффициент вариации v</t>
        </is>
      </c>
      <c r="C56" s="32" t="n">
        <v>0.3</v>
      </c>
      <c r="D56" s="18" t="inlineStr"/>
      <c r="E56" s="19" t="inlineStr">
        <is>
          <t>задано</t>
        </is>
      </c>
      <c r="F56" s="20" t="n"/>
      <c r="G56" s="20" t="n"/>
      <c r="H56" s="20" t="n"/>
    </row>
    <row r="57" ht="17.5" customHeight="1">
      <c r="A57" s="14" t="inlineStr">
        <is>
          <t>Решение</t>
        </is>
      </c>
      <c r="B57" s="16" t="inlineStr">
        <is>
          <t>Средний ресурс Mt = σt / v</t>
        </is>
      </c>
      <c r="C57" s="37">
        <f>$C$55/$C$56</f>
        <v/>
      </c>
      <c r="D57" s="18" t="inlineStr">
        <is>
          <t>ч</t>
        </is>
      </c>
      <c r="E57" s="19" t="inlineStr">
        <is>
          <t>из v = σt/Mt</t>
        </is>
      </c>
      <c r="F57" s="20" t="n"/>
      <c r="G57" s="20" t="n"/>
      <c r="H57" s="20" t="n"/>
    </row>
    <row r="58" ht="32" customHeight="1">
      <c r="B58" s="21" t="inlineStr">
        <is>
          <t>t, ч</t>
        </is>
      </c>
      <c r="C58" s="21" t="inlineStr">
        <is>
          <t>Квантиль Uр = (t − Mt)/σt</t>
        </is>
      </c>
      <c r="D58" s="21" t="inlineStr">
        <is>
          <t>Q(t) = Φ(Uр)</t>
        </is>
      </c>
      <c r="E58" s="21" t="inlineStr">
        <is>
          <t>P(t) = 1 − Q(t)</t>
        </is>
      </c>
      <c r="F58" s="21" t="inlineStr">
        <is>
          <t>f(t) = φ(Uр)/σt, 1/ч</t>
        </is>
      </c>
      <c r="G58" s="21" t="inlineStr">
        <is>
          <t>λ(t) = f(t)/P(t), 1/ч</t>
        </is>
      </c>
    </row>
    <row r="59">
      <c r="B59" s="35" t="n">
        <v>1000</v>
      </c>
      <c r="C59" s="23">
        <f>(B59-$C$57)/$C$55</f>
        <v/>
      </c>
      <c r="D59" s="23">
        <f>NORMDIST(C59,0,1,TRUE)</f>
        <v/>
      </c>
      <c r="E59" s="23">
        <f>NORMDIST(-C59,0,1,TRUE)</f>
        <v/>
      </c>
      <c r="F59" s="36">
        <f>NORMDIST(C59,0,1,FALSE)/$C$55</f>
        <v/>
      </c>
      <c r="G59" s="36">
        <f>F59/E59</f>
        <v/>
      </c>
    </row>
    <row r="60">
      <c r="B60" s="35" t="n">
        <v>2000</v>
      </c>
      <c r="C60" s="23">
        <f>(B60-$C$57)/$C$55</f>
        <v/>
      </c>
      <c r="D60" s="23">
        <f>NORMDIST(C60,0,1,TRUE)</f>
        <v/>
      </c>
      <c r="E60" s="23">
        <f>NORMDIST(-C60,0,1,TRUE)</f>
        <v/>
      </c>
      <c r="F60" s="36">
        <f>NORMDIST(C60,0,1,FALSE)/$C$55</f>
        <v/>
      </c>
      <c r="G60" s="36">
        <f>F60/E60</f>
        <v/>
      </c>
    </row>
    <row r="61">
      <c r="B61" s="35" t="n">
        <v>3000</v>
      </c>
      <c r="C61" s="23">
        <f>(B61-$C$57)/$C$55</f>
        <v/>
      </c>
      <c r="D61" s="23">
        <f>NORMDIST(C61,0,1,TRUE)</f>
        <v/>
      </c>
      <c r="E61" s="23">
        <f>NORMDIST(-C61,0,1,TRUE)</f>
        <v/>
      </c>
      <c r="F61" s="36">
        <f>NORMDIST(C61,0,1,FALSE)/$C$55</f>
        <v/>
      </c>
      <c r="G61" s="36">
        <f>F61/E61</f>
        <v/>
      </c>
    </row>
    <row r="62" ht="17.5" customHeight="1">
      <c r="A62" s="14" t="inlineStr">
        <is>
          <t>Ответ</t>
        </is>
      </c>
      <c r="B62" s="25" t="inlineStr">
        <is>
          <t>Ответ: средний ресурс Mt</t>
        </is>
      </c>
      <c r="C62" s="26">
        <f>$C$57</f>
        <v/>
      </c>
      <c r="D62" s="18" t="inlineStr">
        <is>
          <t>ч</t>
        </is>
      </c>
      <c r="E62" s="19" t="inlineStr">
        <is>
          <t>показатели P, Q, f, λ — в таблице выше (подсвечены в «Сводке»)</t>
        </is>
      </c>
      <c r="F62" s="20" t="n"/>
      <c r="G62" s="20" t="n"/>
      <c r="H62" s="20" t="n"/>
    </row>
    <row r="63" ht="33" customHeight="1">
      <c r="A63" s="14" t="inlineStr">
        <is>
          <t>Вывод</t>
        </is>
      </c>
      <c r="B63" s="15" t="inlineStr">
        <is>
          <t>Вывод: в отличие от 4.4 средний ресурс ниже (≈1333 ч), поэтому уже при t = 2000 ч вероятность безотказной работы мала, а интенсивность отказов заметно выше.</t>
        </is>
      </c>
    </row>
    <row r="65" ht="22" customHeight="1">
      <c r="A65" s="13" t="inlineStr">
        <is>
          <t>Задача 4.6. Число отказавших задвижек в интервале 1500–3000 ч</t>
        </is>
      </c>
    </row>
    <row r="66" ht="33" customHeight="1">
      <c r="A66" s="14" t="inlineStr">
        <is>
          <t>Условие</t>
        </is>
      </c>
      <c r="B66" s="15" t="inlineStr">
        <is>
          <t>На испытания поставлено 200 задвижек. К 1000 ч отказало 50, к 2000 ч — ещё 20. Найти число отказавших задвижек в интервале 1500–3000 ч при σt = 500 ч.</t>
        </is>
      </c>
    </row>
    <row r="67" ht="17.5" customHeight="1">
      <c r="A67" s="14" t="inlineStr">
        <is>
          <t>Дано</t>
        </is>
      </c>
      <c r="B67" s="16" t="inlineStr">
        <is>
          <t>Число задвижек N</t>
        </is>
      </c>
      <c r="C67" s="27" t="n">
        <v>200</v>
      </c>
      <c r="D67" s="18" t="inlineStr">
        <is>
          <t>шт</t>
        </is>
      </c>
      <c r="E67" s="19" t="inlineStr">
        <is>
          <t>задано</t>
        </is>
      </c>
      <c r="F67" s="20" t="n"/>
      <c r="G67" s="20" t="n"/>
      <c r="H67" s="20" t="n"/>
    </row>
    <row r="68" ht="17.5" customHeight="1">
      <c r="B68" s="16" t="inlineStr">
        <is>
          <t>Первое наблюдение t₁</t>
        </is>
      </c>
      <c r="C68" s="17" t="n">
        <v>1000</v>
      </c>
      <c r="D68" s="18" t="inlineStr">
        <is>
          <t>ч</t>
        </is>
      </c>
      <c r="E68" s="19" t="inlineStr"/>
      <c r="F68" s="20" t="n"/>
      <c r="G68" s="20" t="n"/>
      <c r="H68" s="20" t="n"/>
    </row>
    <row r="69" ht="17.5" customHeight="1">
      <c r="B69" s="16" t="inlineStr">
        <is>
          <t>Отказало к t₁</t>
        </is>
      </c>
      <c r="C69" s="27" t="n">
        <v>50</v>
      </c>
      <c r="D69" s="18" t="inlineStr">
        <is>
          <t>шт</t>
        </is>
      </c>
      <c r="E69" s="19" t="inlineStr"/>
      <c r="F69" s="20" t="n"/>
      <c r="G69" s="20" t="n"/>
      <c r="H69" s="20" t="n"/>
    </row>
    <row r="70" ht="17.5" customHeight="1">
      <c r="B70" s="16" t="inlineStr">
        <is>
          <t>Второе наблюдение t₂</t>
        </is>
      </c>
      <c r="C70" s="17" t="n">
        <v>2000</v>
      </c>
      <c r="D70" s="18" t="inlineStr">
        <is>
          <t>ч</t>
        </is>
      </c>
      <c r="E70" s="19" t="inlineStr"/>
      <c r="F70" s="20" t="n"/>
      <c r="G70" s="20" t="n"/>
      <c r="H70" s="20" t="n"/>
    </row>
    <row r="71" ht="17.5" customHeight="1">
      <c r="B71" s="16" t="inlineStr">
        <is>
          <t>Отказало дополнительно к t₂</t>
        </is>
      </c>
      <c r="C71" s="27" t="n">
        <v>20</v>
      </c>
      <c r="D71" s="18" t="inlineStr">
        <is>
          <t>шт</t>
        </is>
      </c>
      <c r="E71" s="19" t="inlineStr"/>
      <c r="F71" s="20" t="n"/>
      <c r="G71" s="20" t="n"/>
      <c r="H71" s="20" t="n"/>
    </row>
    <row r="72" ht="17.5" customHeight="1">
      <c r="B72" s="16" t="inlineStr">
        <is>
          <t>СКО ресурса σt</t>
        </is>
      </c>
      <c r="C72" s="17" t="n">
        <v>500</v>
      </c>
      <c r="D72" s="18" t="inlineStr">
        <is>
          <t>ч</t>
        </is>
      </c>
      <c r="E72" s="19" t="inlineStr">
        <is>
          <t>задано</t>
        </is>
      </c>
      <c r="F72" s="20" t="n"/>
      <c r="G72" s="20" t="n"/>
      <c r="H72" s="20" t="n"/>
    </row>
    <row r="73" ht="17.5" customHeight="1">
      <c r="B73" s="16" t="inlineStr">
        <is>
          <t>Начало интервала</t>
        </is>
      </c>
      <c r="C73" s="17" t="n">
        <v>1500</v>
      </c>
      <c r="D73" s="18" t="inlineStr">
        <is>
          <t>ч</t>
        </is>
      </c>
      <c r="E73" s="19" t="inlineStr"/>
      <c r="F73" s="20" t="n"/>
      <c r="G73" s="20" t="n"/>
      <c r="H73" s="20" t="n"/>
    </row>
    <row r="74" ht="17.5" customHeight="1">
      <c r="B74" s="16" t="inlineStr">
        <is>
          <t>Конец интервала</t>
        </is>
      </c>
      <c r="C74" s="17" t="n">
        <v>3000</v>
      </c>
      <c r="D74" s="18" t="inlineStr">
        <is>
          <t>ч</t>
        </is>
      </c>
      <c r="E74" s="19" t="inlineStr"/>
      <c r="F74" s="20" t="n"/>
      <c r="G74" s="20" t="n"/>
      <c r="H74" s="20" t="n"/>
    </row>
    <row r="75" ht="17.5" customHeight="1">
      <c r="A75" s="14" t="inlineStr">
        <is>
          <t>Решение</t>
        </is>
      </c>
      <c r="B75" s="16" t="inlineStr">
        <is>
          <t>Накопленное число отказов к t₂</t>
        </is>
      </c>
      <c r="C75" s="38">
        <f>$C$69+$C$71</f>
        <v/>
      </c>
      <c r="D75" s="18" t="inlineStr">
        <is>
          <t>шт</t>
        </is>
      </c>
      <c r="E75" s="19" t="inlineStr">
        <is>
          <t>допущение: «ещё 20» прибавляются к 50</t>
        </is>
      </c>
      <c r="F75" s="20" t="n"/>
      <c r="G75" s="20" t="n"/>
      <c r="H75" s="20" t="n"/>
    </row>
    <row r="76" ht="17.5" customHeight="1">
      <c r="B76" s="16" t="inlineStr">
        <is>
          <t>Статистическая оценка Q(t₂) = n/N</t>
        </is>
      </c>
      <c r="C76" s="29">
        <f>$C$75/$C$67</f>
        <v/>
      </c>
      <c r="D76" s="18" t="inlineStr"/>
      <c r="E76" s="19" t="inlineStr"/>
      <c r="F76" s="20" t="n"/>
      <c r="G76" s="20" t="n"/>
      <c r="H76" s="20" t="n"/>
    </row>
    <row r="77" ht="17.5" customHeight="1">
      <c r="B77" s="16" t="inlineStr">
        <is>
          <t>Квантиль U₂ = Φ⁻¹(Q(t₂))</t>
        </is>
      </c>
      <c r="C77" s="29">
        <f>NORMSINV($C$76)</f>
        <v/>
      </c>
      <c r="D77" s="18" t="inlineStr"/>
      <c r="E77" s="19" t="inlineStr"/>
      <c r="F77" s="20" t="n"/>
      <c r="G77" s="20" t="n"/>
      <c r="H77" s="20" t="n"/>
    </row>
    <row r="78" ht="17.5" customHeight="1">
      <c r="B78" s="16" t="inlineStr">
        <is>
          <t>Средний ресурс Mt = t₂ − U₂·σt</t>
        </is>
      </c>
      <c r="C78" s="37">
        <f>$C$70-$C$77*$C$72</f>
        <v/>
      </c>
      <c r="D78" s="18" t="inlineStr">
        <is>
          <t>ч</t>
        </is>
      </c>
      <c r="E78" s="19" t="inlineStr">
        <is>
          <t>из U = (t − Mt)/σt</t>
        </is>
      </c>
      <c r="F78" s="20" t="n"/>
      <c r="G78" s="20" t="n"/>
      <c r="H78" s="20" t="n"/>
    </row>
    <row r="79" ht="17.5" customHeight="1">
      <c r="B79" s="16" t="inlineStr">
        <is>
          <t>Q(1500) = Φ((1500 − Mt)/σt)</t>
        </is>
      </c>
      <c r="C79" s="29">
        <f>NORMDIST($C$73,$C$78,$C$72,TRUE)</f>
        <v/>
      </c>
      <c r="D79" s="18" t="inlineStr"/>
      <c r="E79" s="19" t="inlineStr"/>
      <c r="F79" s="20" t="n"/>
      <c r="G79" s="20" t="n"/>
      <c r="H79" s="20" t="n"/>
    </row>
    <row r="80" ht="17.5" customHeight="1">
      <c r="B80" s="16" t="inlineStr">
        <is>
          <t>Q(3000) = Φ((3000 − Mt)/σt)</t>
        </is>
      </c>
      <c r="C80" s="29">
        <f>NORMDIST($C$74,$C$78,$C$72,TRUE)</f>
        <v/>
      </c>
      <c r="D80" s="18" t="inlineStr"/>
      <c r="E80" s="19" t="inlineStr"/>
      <c r="F80" s="20" t="n"/>
      <c r="G80" s="20" t="n"/>
      <c r="H80" s="20" t="n"/>
    </row>
    <row r="81" ht="17.5" customHeight="1">
      <c r="B81" s="16" t="inlineStr">
        <is>
          <t>n = N·[Q(3000) − Q(1500)]</t>
        </is>
      </c>
      <c r="C81" s="39">
        <f>$C$67*($C$80-$C$79)</f>
        <v/>
      </c>
      <c r="D81" s="18" t="inlineStr">
        <is>
          <t>шт</t>
        </is>
      </c>
      <c r="E81" s="19" t="inlineStr"/>
      <c r="F81" s="20" t="n"/>
      <c r="G81" s="20" t="n"/>
      <c r="H81" s="20" t="n"/>
    </row>
    <row r="82" ht="32" customHeight="1">
      <c r="A82" s="14" t="inlineStr">
        <is>
          <t>Ответ</t>
        </is>
      </c>
      <c r="B82" s="25" t="inlineStr">
        <is>
          <t>Ответ: отказавших задвижек в интервале 1500–3000 ч</t>
        </is>
      </c>
      <c r="C82" s="40">
        <f>ROUND($C$81,0)</f>
        <v/>
      </c>
      <c r="D82" s="18" t="inlineStr">
        <is>
          <t>шт</t>
        </is>
      </c>
      <c r="E82" s="19" t="inlineStr">
        <is>
          <t>округление до целого</t>
        </is>
      </c>
      <c r="F82" s="20" t="n"/>
      <c r="G82" s="20" t="n"/>
      <c r="H82" s="20" t="n"/>
    </row>
    <row r="84" ht="22" customHeight="1">
      <c r="A84" s="13" t="inlineStr">
        <is>
          <t>Задача 4.7. Число отказавших долот в интервале 200–250 ч</t>
        </is>
      </c>
    </row>
    <row r="85" ht="33" customHeight="1">
      <c r="A85" s="14" t="inlineStr">
        <is>
          <t>Условие</t>
        </is>
      </c>
      <c r="B85" s="15" t="inlineStr">
        <is>
          <t>На испытания поставлено 100 долот. К 150 ч отказало 50, через 50 ч — ещё 2. Найти число отказавших долот в интервале 200–250 ч при коэффициенте вариации ресурса 0,1.</t>
        </is>
      </c>
    </row>
    <row r="86" ht="17.5" customHeight="1">
      <c r="A86" s="14" t="inlineStr">
        <is>
          <t>Дано</t>
        </is>
      </c>
      <c r="B86" s="16" t="inlineStr">
        <is>
          <t>Число долот N</t>
        </is>
      </c>
      <c r="C86" s="27" t="n">
        <v>100</v>
      </c>
      <c r="D86" s="18" t="inlineStr">
        <is>
          <t>шт</t>
        </is>
      </c>
      <c r="E86" s="19" t="inlineStr">
        <is>
          <t>задано</t>
        </is>
      </c>
      <c r="F86" s="20" t="n"/>
      <c r="G86" s="20" t="n"/>
      <c r="H86" s="20" t="n"/>
    </row>
    <row r="87" ht="17.5" customHeight="1">
      <c r="B87" s="16" t="inlineStr">
        <is>
          <t>Первое наблюдение</t>
        </is>
      </c>
      <c r="C87" s="17" t="n">
        <v>150</v>
      </c>
      <c r="D87" s="18" t="inlineStr">
        <is>
          <t>ч</t>
        </is>
      </c>
      <c r="E87" s="19" t="inlineStr"/>
      <c r="F87" s="20" t="n"/>
      <c r="G87" s="20" t="n"/>
      <c r="H87" s="20" t="n"/>
    </row>
    <row r="88" ht="17.5" customHeight="1">
      <c r="B88" s="16" t="inlineStr">
        <is>
          <t>Отказало к первому наблюдению</t>
        </is>
      </c>
      <c r="C88" s="27" t="n">
        <v>50</v>
      </c>
      <c r="D88" s="18" t="inlineStr">
        <is>
          <t>шт</t>
        </is>
      </c>
      <c r="E88" s="19" t="inlineStr"/>
      <c r="F88" s="20" t="n"/>
      <c r="G88" s="20" t="n"/>
      <c r="H88" s="20" t="n"/>
    </row>
    <row r="89" ht="17.5" customHeight="1">
      <c r="B89" s="16" t="inlineStr">
        <is>
          <t>Дополнительное время Δt</t>
        </is>
      </c>
      <c r="C89" s="17" t="n">
        <v>50</v>
      </c>
      <c r="D89" s="18" t="inlineStr">
        <is>
          <t>ч</t>
        </is>
      </c>
      <c r="E89" s="19" t="inlineStr">
        <is>
          <t>«через 50 ч»</t>
        </is>
      </c>
      <c r="F89" s="20" t="n"/>
      <c r="G89" s="20" t="n"/>
      <c r="H89" s="20" t="n"/>
    </row>
    <row r="90" ht="17.5" customHeight="1">
      <c r="B90" s="16" t="inlineStr">
        <is>
          <t>Отказало дополнительно</t>
        </is>
      </c>
      <c r="C90" s="27" t="n">
        <v>2</v>
      </c>
      <c r="D90" s="18" t="inlineStr">
        <is>
          <t>шт</t>
        </is>
      </c>
      <c r="E90" s="19" t="inlineStr"/>
      <c r="F90" s="20" t="n"/>
      <c r="G90" s="20" t="n"/>
      <c r="H90" s="20" t="n"/>
    </row>
    <row r="91" ht="17.5" customHeight="1">
      <c r="B91" s="16" t="inlineStr">
        <is>
          <t>Коэффициент вариации v</t>
        </is>
      </c>
      <c r="C91" s="32" t="n">
        <v>0.1</v>
      </c>
      <c r="D91" s="18" t="inlineStr"/>
      <c r="E91" s="19" t="inlineStr">
        <is>
          <t>задано</t>
        </is>
      </c>
      <c r="F91" s="20" t="n"/>
      <c r="G91" s="20" t="n"/>
      <c r="H91" s="20" t="n"/>
    </row>
    <row r="92" ht="17.5" customHeight="1">
      <c r="B92" s="16" t="inlineStr">
        <is>
          <t>Начало интервала</t>
        </is>
      </c>
      <c r="C92" s="17" t="n">
        <v>200</v>
      </c>
      <c r="D92" s="18" t="inlineStr">
        <is>
          <t>ч</t>
        </is>
      </c>
      <c r="E92" s="19" t="inlineStr"/>
      <c r="F92" s="20" t="n"/>
      <c r="G92" s="20" t="n"/>
      <c r="H92" s="20" t="n"/>
    </row>
    <row r="93" ht="17.5" customHeight="1">
      <c r="B93" s="16" t="inlineStr">
        <is>
          <t>Конец интервала</t>
        </is>
      </c>
      <c r="C93" s="17" t="n">
        <v>250</v>
      </c>
      <c r="D93" s="18" t="inlineStr">
        <is>
          <t>ч</t>
        </is>
      </c>
      <c r="E93" s="19" t="inlineStr"/>
      <c r="F93" s="20" t="n"/>
      <c r="G93" s="20" t="n"/>
      <c r="H93" s="20" t="n"/>
    </row>
    <row r="94" ht="17.5" customHeight="1">
      <c r="A94" s="14" t="inlineStr">
        <is>
          <t>Решение</t>
        </is>
      </c>
      <c r="B94" s="16" t="inlineStr">
        <is>
          <t>Момент второго наблюдения t₂ = t₁ + Δt</t>
        </is>
      </c>
      <c r="C94" s="28">
        <f>$C$87+$C$89</f>
        <v/>
      </c>
      <c r="D94" s="18" t="inlineStr">
        <is>
          <t>ч</t>
        </is>
      </c>
      <c r="E94" s="19" t="inlineStr">
        <is>
          <t>совпадает с началом интервала</t>
        </is>
      </c>
      <c r="F94" s="20" t="n"/>
      <c r="G94" s="20" t="n"/>
      <c r="H94" s="20" t="n"/>
    </row>
    <row r="95" ht="17.5" customHeight="1">
      <c r="B95" s="16" t="inlineStr">
        <is>
          <t>Q(t₂) = (n₁ + n₂)/N</t>
        </is>
      </c>
      <c r="C95" s="29">
        <f>($C$88+$C$90)/$C$86</f>
        <v/>
      </c>
      <c r="D95" s="18" t="inlineStr"/>
      <c r="E95" s="19" t="inlineStr"/>
      <c r="F95" s="20" t="n"/>
      <c r="G95" s="20" t="n"/>
      <c r="H95" s="20" t="n"/>
    </row>
    <row r="96" ht="17.5" customHeight="1">
      <c r="B96" s="16" t="inlineStr">
        <is>
          <t>Квантиль U₂ = Φ⁻¹(Q(t₂))</t>
        </is>
      </c>
      <c r="C96" s="29">
        <f>NORMSINV($C$95)</f>
        <v/>
      </c>
      <c r="D96" s="18" t="inlineStr"/>
      <c r="E96" s="19" t="inlineStr"/>
      <c r="F96" s="20" t="n"/>
      <c r="G96" s="20" t="n"/>
      <c r="H96" s="20" t="n"/>
    </row>
    <row r="97" ht="17.5" customHeight="1">
      <c r="B97" s="16" t="inlineStr">
        <is>
          <t>Средний ресурс Mt = t₂ / (1 + U₂·v)</t>
        </is>
      </c>
      <c r="C97" s="41">
        <f>$C$94/(1+$C$96*$C$91)</f>
        <v/>
      </c>
      <c r="D97" s="18" t="inlineStr">
        <is>
          <t>ч</t>
        </is>
      </c>
      <c r="E97" s="19" t="inlineStr">
        <is>
          <t>так как σt = v·Mt, то U = (t − Mt)/(v·Mt)</t>
        </is>
      </c>
      <c r="F97" s="20" t="n"/>
      <c r="G97" s="20" t="n"/>
      <c r="H97" s="20" t="n"/>
    </row>
    <row r="98" ht="17.5" customHeight="1">
      <c r="B98" s="16" t="inlineStr">
        <is>
          <t>СКО σt = v·Mt</t>
        </is>
      </c>
      <c r="C98" s="41">
        <f>$C$91*$C$97</f>
        <v/>
      </c>
      <c r="D98" s="18" t="inlineStr">
        <is>
          <t>ч</t>
        </is>
      </c>
      <c r="E98" s="19" t="inlineStr"/>
      <c r="F98" s="20" t="n"/>
      <c r="G98" s="20" t="n"/>
      <c r="H98" s="20" t="n"/>
    </row>
    <row r="99" ht="17.5" customHeight="1">
      <c r="B99" s="16" t="inlineStr">
        <is>
          <t>Q(200)</t>
        </is>
      </c>
      <c r="C99" s="29">
        <f>NORMDIST($C$92,$C$97,$C$98,TRUE)</f>
        <v/>
      </c>
      <c r="D99" s="18" t="inlineStr"/>
      <c r="E99" s="19" t="inlineStr"/>
      <c r="F99" s="20" t="n"/>
      <c r="G99" s="20" t="n"/>
      <c r="H99" s="20" t="n"/>
    </row>
    <row r="100" ht="17.5" customHeight="1">
      <c r="B100" s="16" t="inlineStr">
        <is>
          <t>Q(250)</t>
        </is>
      </c>
      <c r="C100" s="29">
        <f>NORMDIST($C$93,$C$97,$C$98,TRUE)</f>
        <v/>
      </c>
      <c r="D100" s="18" t="inlineStr"/>
      <c r="E100" s="19" t="inlineStr"/>
      <c r="F100" s="20" t="n"/>
      <c r="G100" s="20" t="n"/>
      <c r="H100" s="20" t="n"/>
    </row>
    <row r="101" ht="17.5" customHeight="1">
      <c r="B101" s="16" t="inlineStr">
        <is>
          <t>n = N·[Q(250) − Q(200)]</t>
        </is>
      </c>
      <c r="C101" s="42">
        <f>$C$86*($C$100-$C$99)</f>
        <v/>
      </c>
      <c r="D101" s="18" t="inlineStr">
        <is>
          <t>шт</t>
        </is>
      </c>
      <c r="E101" s="19" t="inlineStr"/>
      <c r="F101" s="20" t="n"/>
      <c r="G101" s="20" t="n"/>
      <c r="H101" s="20" t="n"/>
    </row>
    <row r="102" ht="17.5" customHeight="1">
      <c r="A102" s="14" t="inlineStr">
        <is>
          <t>Ответ</t>
        </is>
      </c>
      <c r="B102" s="25" t="inlineStr">
        <is>
          <t>Ответ: отказавших долот в интервале 200–250 ч</t>
        </is>
      </c>
      <c r="C102" s="40">
        <f>ROUND($C$101,0)</f>
        <v/>
      </c>
      <c r="D102" s="18" t="inlineStr">
        <is>
          <t>шт</t>
        </is>
      </c>
      <c r="E102" s="19" t="inlineStr">
        <is>
          <t>округление до целого</t>
        </is>
      </c>
      <c r="F102" s="20" t="n"/>
      <c r="G102" s="20" t="n"/>
      <c r="H102" s="20" t="n"/>
    </row>
    <row r="104" ht="22" customHeight="1">
      <c r="A104" s="13" t="inlineStr">
        <is>
          <t>Задача 4.9. Вероятность отказа по нижнему предельному значению наработки</t>
        </is>
      </c>
    </row>
    <row r="105" ht="33" customHeight="1">
      <c r="A105" s="14" t="inlineStr">
        <is>
          <t>Условие</t>
        </is>
      </c>
      <c r="B105" s="15" t="inlineStr">
        <is>
          <t>Найти вероятность отказа изделия при наработке 1500 ч, если коэффициент вариации равен 0,2, а нижнее предельно допустимое значение наработки составляет 2000 ч.</t>
        </is>
      </c>
    </row>
    <row r="106" ht="17.5" customHeight="1">
      <c r="A106" s="14" t="inlineStr">
        <is>
          <t>Дано</t>
        </is>
      </c>
      <c r="B106" s="16" t="inlineStr">
        <is>
          <t>Нижнее предельное значение tниж</t>
        </is>
      </c>
      <c r="C106" s="17" t="n">
        <v>2000</v>
      </c>
      <c r="D106" s="18" t="inlineStr">
        <is>
          <t>ч</t>
        </is>
      </c>
      <c r="E106" s="19" t="inlineStr">
        <is>
          <t>задано</t>
        </is>
      </c>
      <c r="F106" s="20" t="n"/>
      <c r="G106" s="20" t="n"/>
      <c r="H106" s="20" t="n"/>
    </row>
    <row r="107" ht="17.5" customHeight="1">
      <c r="B107" s="16" t="inlineStr">
        <is>
          <t>Коэффициент вариации v</t>
        </is>
      </c>
      <c r="C107" s="32" t="n">
        <v>0.2</v>
      </c>
      <c r="D107" s="18" t="inlineStr"/>
      <c r="E107" s="19" t="inlineStr">
        <is>
          <t>задано</t>
        </is>
      </c>
      <c r="F107" s="20" t="n"/>
      <c r="G107" s="20" t="n"/>
      <c r="H107" s="20" t="n"/>
    </row>
    <row r="108" ht="17.5" customHeight="1">
      <c r="B108" s="16" t="inlineStr">
        <is>
          <t>Число сигм k</t>
        </is>
      </c>
      <c r="C108" s="27" t="n">
        <v>3</v>
      </c>
      <c r="D108" s="18" t="inlineStr"/>
      <c r="E108" s="19" t="inlineStr">
        <is>
          <t>правило «трёх сигм»: tниж = Mt − 3σt</t>
        </is>
      </c>
      <c r="F108" s="20" t="n"/>
      <c r="G108" s="20" t="n"/>
      <c r="H108" s="20" t="n"/>
    </row>
    <row r="109" ht="17.5" customHeight="1">
      <c r="A109" s="14" t="inlineStr">
        <is>
          <t>Решение</t>
        </is>
      </c>
      <c r="B109" s="16" t="inlineStr">
        <is>
          <t>Mt = tниж / (1 − k·v)</t>
        </is>
      </c>
      <c r="C109" s="28">
        <f>$C$106/(1-$C$108*$C$107)</f>
        <v/>
      </c>
      <c r="D109" s="18" t="inlineStr">
        <is>
          <t>ч</t>
        </is>
      </c>
      <c r="E109" s="19" t="inlineStr">
        <is>
          <t>tниж = Mt − k·v·Mt</t>
        </is>
      </c>
      <c r="F109" s="20" t="n"/>
      <c r="G109" s="20" t="n"/>
      <c r="H109" s="20" t="n"/>
    </row>
    <row r="110" ht="17.5" customHeight="1">
      <c r="B110" s="16" t="inlineStr">
        <is>
          <t>σt = v·Mt</t>
        </is>
      </c>
      <c r="C110" s="28">
        <f>$C$107*$C$109</f>
        <v/>
      </c>
      <c r="D110" s="18" t="inlineStr">
        <is>
          <t>ч</t>
        </is>
      </c>
      <c r="E110" s="19" t="inlineStr"/>
      <c r="F110" s="20" t="n"/>
      <c r="G110" s="20" t="n"/>
      <c r="H110" s="20" t="n"/>
    </row>
    <row r="111" ht="32" customHeight="1">
      <c r="B111" s="21" t="inlineStr">
        <is>
          <t>t, ч</t>
        </is>
      </c>
      <c r="C111" s="21" t="inlineStr">
        <is>
          <t>Квантиль Uр = (t − Mt)/σt</t>
        </is>
      </c>
      <c r="D111" s="21" t="inlineStr">
        <is>
          <t>Q(t) = Φ(Uр)</t>
        </is>
      </c>
      <c r="E111" s="21" t="inlineStr">
        <is>
          <t>P(t) = 1 − Q(t)</t>
        </is>
      </c>
      <c r="F111" s="21" t="inlineStr">
        <is>
          <t>f(t) = φ(Uр)/σt, 1/ч</t>
        </is>
      </c>
      <c r="G111" s="21" t="inlineStr">
        <is>
          <t>λ(t) = f(t)/P(t), 1/ч</t>
        </is>
      </c>
    </row>
    <row r="112">
      <c r="B112" s="35" t="n">
        <v>1500</v>
      </c>
      <c r="C112" s="23">
        <f>(B112-$C$109)/$C$110</f>
        <v/>
      </c>
      <c r="D112" s="23">
        <f>NORMDIST(C112,0,1,TRUE)</f>
        <v/>
      </c>
      <c r="E112" s="23">
        <f>NORMDIST(-C112,0,1,TRUE)</f>
        <v/>
      </c>
      <c r="F112" s="36">
        <f>NORMDIST(C112,0,1,FALSE)/$C$110</f>
        <v/>
      </c>
      <c r="G112" s="36">
        <f>F112/E112</f>
        <v/>
      </c>
    </row>
    <row r="113" ht="17.5" customHeight="1">
      <c r="A113" s="14" t="inlineStr">
        <is>
          <t>Ответ</t>
        </is>
      </c>
      <c r="B113" s="25" t="inlineStr">
        <is>
          <t>Ответ: вероятность отказа Q(1500 ч)</t>
        </is>
      </c>
      <c r="C113" s="43">
        <f>D112</f>
        <v/>
      </c>
      <c r="D113" s="18" t="inlineStr"/>
      <c r="E113" s="19" t="inlineStr">
        <is>
          <t>≈ 0,0002 — отказ при такой наработке крайне маловероятен</t>
        </is>
      </c>
      <c r="F113" s="20" t="n"/>
      <c r="G113" s="20" t="n"/>
      <c r="H113" s="20" t="n"/>
    </row>
    <row r="115" ht="22" customHeight="1">
      <c r="A115" s="13" t="inlineStr">
        <is>
          <t>Задача 4.10. Вероятность отказа по нижнему и верхнему предельным значениям</t>
        </is>
      </c>
    </row>
    <row r="116" ht="33" customHeight="1">
      <c r="A116" s="14" t="inlineStr">
        <is>
          <t>Условие</t>
        </is>
      </c>
      <c r="B116" s="15" t="inlineStr">
        <is>
          <t>Предельно допустимое значение наработки на отказ 1600 ч, максимальное — 2000 ч. Найти вероятность отказа при t = 1200 ч и характеристики распределения.</t>
        </is>
      </c>
    </row>
    <row r="117" ht="17.5" customHeight="1">
      <c r="A117" s="14" t="inlineStr">
        <is>
          <t>Дано</t>
        </is>
      </c>
      <c r="B117" s="16" t="inlineStr">
        <is>
          <t>Нижнее предельное значение</t>
        </is>
      </c>
      <c r="C117" s="17" t="n">
        <v>1600</v>
      </c>
      <c r="D117" s="18" t="inlineStr">
        <is>
          <t>ч</t>
        </is>
      </c>
      <c r="E117" s="19" t="inlineStr">
        <is>
          <t>задано</t>
        </is>
      </c>
      <c r="F117" s="20" t="n"/>
      <c r="G117" s="20" t="n"/>
      <c r="H117" s="20" t="n"/>
    </row>
    <row r="118" ht="17.5" customHeight="1">
      <c r="B118" s="16" t="inlineStr">
        <is>
          <t>Максимальное значение</t>
        </is>
      </c>
      <c r="C118" s="17" t="n">
        <v>2000</v>
      </c>
      <c r="D118" s="18" t="inlineStr">
        <is>
          <t>ч</t>
        </is>
      </c>
      <c r="E118" s="19" t="inlineStr">
        <is>
          <t>задано</t>
        </is>
      </c>
      <c r="F118" s="20" t="n"/>
      <c r="G118" s="20" t="n"/>
      <c r="H118" s="20" t="n"/>
    </row>
    <row r="119" ht="17.5" customHeight="1">
      <c r="B119" s="16" t="inlineStr">
        <is>
          <t>Число сигм k</t>
        </is>
      </c>
      <c r="C119" s="27" t="n">
        <v>3</v>
      </c>
      <c r="D119" s="18" t="inlineStr"/>
      <c r="E119" s="19" t="inlineStr">
        <is>
          <t>границы разброса: Mt ± 3σt</t>
        </is>
      </c>
      <c r="F119" s="20" t="n"/>
      <c r="G119" s="20" t="n"/>
      <c r="H119" s="20" t="n"/>
    </row>
    <row r="120" ht="17.5" customHeight="1">
      <c r="A120" s="14" t="inlineStr">
        <is>
          <t>Решение</t>
        </is>
      </c>
      <c r="B120" s="16" t="inlineStr">
        <is>
          <t>Mt = (tниж + tmax)/2</t>
        </is>
      </c>
      <c r="C120" s="28">
        <f>($C$117+$C$118)/2</f>
        <v/>
      </c>
      <c r="D120" s="18" t="inlineStr">
        <is>
          <t>ч</t>
        </is>
      </c>
      <c r="E120" s="19" t="inlineStr">
        <is>
          <t>середина интервала</t>
        </is>
      </c>
      <c r="F120" s="20" t="n"/>
      <c r="G120" s="20" t="n"/>
      <c r="H120" s="20" t="n"/>
    </row>
    <row r="121" ht="17.5" customHeight="1">
      <c r="B121" s="16" t="inlineStr">
        <is>
          <t>σt = (tmax − tниж)/(2k)</t>
        </is>
      </c>
      <c r="C121" s="41">
        <f>($C$118-$C$117)/(2*$C$119)</f>
        <v/>
      </c>
      <c r="D121" s="18" t="inlineStr">
        <is>
          <t>ч</t>
        </is>
      </c>
      <c r="E121" s="19" t="inlineStr"/>
      <c r="F121" s="20" t="n"/>
      <c r="G121" s="20" t="n"/>
      <c r="H121" s="20" t="n"/>
    </row>
    <row r="122" ht="17.5" customHeight="1">
      <c r="B122" s="16" t="inlineStr">
        <is>
          <t>Коэффициент вариации v = σt/Mt</t>
        </is>
      </c>
      <c r="C122" s="29">
        <f>$C$121/$C$120</f>
        <v/>
      </c>
      <c r="D122" s="18" t="inlineStr"/>
      <c r="E122" s="19" t="inlineStr"/>
      <c r="F122" s="20" t="n"/>
      <c r="G122" s="20" t="n"/>
      <c r="H122" s="20" t="n"/>
    </row>
    <row r="123" ht="32" customHeight="1">
      <c r="B123" s="21" t="inlineStr">
        <is>
          <t>t, ч</t>
        </is>
      </c>
      <c r="C123" s="21" t="inlineStr">
        <is>
          <t>Квантиль Uр = (t − Mt)/σt</t>
        </is>
      </c>
      <c r="D123" s="21" t="inlineStr">
        <is>
          <t>Q(t) = Φ(Uр)</t>
        </is>
      </c>
      <c r="E123" s="21" t="inlineStr">
        <is>
          <t>P(t) = 1 − Q(t)</t>
        </is>
      </c>
      <c r="F123" s="21" t="inlineStr">
        <is>
          <t>f(t) = φ(Uр)/σt, 1/ч</t>
        </is>
      </c>
      <c r="G123" s="21" t="inlineStr">
        <is>
          <t>λ(t) = f(t)/P(t), 1/ч</t>
        </is>
      </c>
    </row>
    <row r="124">
      <c r="B124" s="35" t="n">
        <v>1200</v>
      </c>
      <c r="C124" s="23">
        <f>(B124-$C$120)/$C$121</f>
        <v/>
      </c>
      <c r="D124" s="23">
        <f>NORMDIST(C124,0,1,TRUE)</f>
        <v/>
      </c>
      <c r="E124" s="23">
        <f>NORMDIST(-C124,0,1,TRUE)</f>
        <v/>
      </c>
      <c r="F124" s="36">
        <f>NORMDIST(C124,0,1,FALSE)/$C$121</f>
        <v/>
      </c>
      <c r="G124" s="36">
        <f>F124/E124</f>
        <v/>
      </c>
    </row>
    <row r="125" ht="32" customHeight="1">
      <c r="A125" s="14" t="inlineStr">
        <is>
          <t>Ответ</t>
        </is>
      </c>
      <c r="B125" s="25" t="inlineStr">
        <is>
          <t>Ответ: вероятность отказа Q(1200 ч)</t>
        </is>
      </c>
      <c r="C125" s="44">
        <f>D124</f>
        <v/>
      </c>
      <c r="D125" s="18" t="inlineStr"/>
      <c r="E125" s="19" t="inlineStr">
        <is>
          <t>U = −9: наработка лежит в 9σ левее Mt, практически нулевая вероятность</t>
        </is>
      </c>
      <c r="F125" s="20" t="n"/>
      <c r="G125" s="20" t="n"/>
      <c r="H125" s="20" t="n"/>
    </row>
    <row r="126" ht="17.5" customHeight="1">
      <c r="B126" s="25" t="inlineStr">
        <is>
          <t>Ответ: Mt (характеристика распределения)</t>
        </is>
      </c>
      <c r="C126" s="30">
        <f>$C$120</f>
        <v/>
      </c>
      <c r="D126" s="18" t="inlineStr">
        <is>
          <t>ч</t>
        </is>
      </c>
      <c r="E126" s="19" t="inlineStr"/>
      <c r="F126" s="20" t="n"/>
      <c r="G126" s="20" t="n"/>
      <c r="H126" s="20" t="n"/>
    </row>
    <row r="127" ht="17.5" customHeight="1">
      <c r="B127" s="25" t="inlineStr">
        <is>
          <t>Ответ: σt (характеристика распределения)</t>
        </is>
      </c>
      <c r="C127" s="45">
        <f>$C$121</f>
        <v/>
      </c>
      <c r="D127" s="18" t="inlineStr">
        <is>
          <t>ч</t>
        </is>
      </c>
      <c r="E127" s="19" t="inlineStr"/>
      <c r="F127" s="20" t="n"/>
      <c r="G127" s="20" t="n"/>
      <c r="H127" s="20" t="n"/>
    </row>
    <row r="129" ht="22" customHeight="1">
      <c r="A129" s="13" t="inlineStr">
        <is>
          <t>Задача 4.15. Вероятность безотказной работы и интенсивность отказов при t = 1300 ч</t>
        </is>
      </c>
    </row>
    <row r="130" ht="33" customHeight="1">
      <c r="A130" s="14" t="inlineStr">
        <is>
          <t>Условие</t>
        </is>
      </c>
      <c r="B130" s="15" t="inlineStr">
        <is>
          <t>По результатам испытаний Mt = 1500 ч, σt = 100 ч. Найти вероятность безотказной работы и интенсивность отказов прибора при t = 1300 ч (закон нормальный).</t>
        </is>
      </c>
    </row>
    <row r="131" ht="17.5" customHeight="1">
      <c r="A131" s="14" t="inlineStr">
        <is>
          <t>Дано</t>
        </is>
      </c>
      <c r="B131" s="16" t="inlineStr">
        <is>
          <t>Средняя наработка Mt</t>
        </is>
      </c>
      <c r="C131" s="17" t="n">
        <v>1500</v>
      </c>
      <c r="D131" s="18" t="inlineStr">
        <is>
          <t>ч</t>
        </is>
      </c>
      <c r="E131" s="19" t="inlineStr">
        <is>
          <t>задано</t>
        </is>
      </c>
      <c r="F131" s="20" t="n"/>
      <c r="G131" s="20" t="n"/>
      <c r="H131" s="20" t="n"/>
    </row>
    <row r="132" ht="17.5" customHeight="1">
      <c r="B132" s="16" t="inlineStr">
        <is>
          <t>СКО σt</t>
        </is>
      </c>
      <c r="C132" s="17" t="n">
        <v>100</v>
      </c>
      <c r="D132" s="18" t="inlineStr">
        <is>
          <t>ч</t>
        </is>
      </c>
      <c r="E132" s="19" t="inlineStr">
        <is>
          <t>задано</t>
        </is>
      </c>
      <c r="F132" s="20" t="n"/>
      <c r="G132" s="20" t="n"/>
      <c r="H132" s="20" t="n"/>
    </row>
    <row r="133" ht="17.5" customHeight="1">
      <c r="A133" s="14" t="inlineStr">
        <is>
          <t>Решение</t>
        </is>
      </c>
      <c r="B133" s="15" t="inlineStr">
        <is>
          <t>Расчёт показателей при заданной наработке:</t>
        </is>
      </c>
    </row>
    <row r="134" ht="32" customHeight="1">
      <c r="B134" s="21" t="inlineStr">
        <is>
          <t>t, ч</t>
        </is>
      </c>
      <c r="C134" s="21" t="inlineStr">
        <is>
          <t>Квантиль Uр = (t − Mt)/σt</t>
        </is>
      </c>
      <c r="D134" s="21" t="inlineStr">
        <is>
          <t>Q(t) = Φ(Uр)</t>
        </is>
      </c>
      <c r="E134" s="21" t="inlineStr">
        <is>
          <t>P(t) = 1 − Q(t)</t>
        </is>
      </c>
      <c r="F134" s="21" t="inlineStr">
        <is>
          <t>f(t) = φ(Uр)/σt, 1/ч</t>
        </is>
      </c>
      <c r="G134" s="21" t="inlineStr">
        <is>
          <t>λ(t) = f(t)/P(t), 1/ч</t>
        </is>
      </c>
    </row>
    <row r="135">
      <c r="B135" s="35" t="n">
        <v>1300</v>
      </c>
      <c r="C135" s="23">
        <f>(B135-$C$131)/$C$132</f>
        <v/>
      </c>
      <c r="D135" s="23">
        <f>NORMDIST(C135,0,1,TRUE)</f>
        <v/>
      </c>
      <c r="E135" s="23">
        <f>NORMDIST(-C135,0,1,TRUE)</f>
        <v/>
      </c>
      <c r="F135" s="36">
        <f>NORMDIST(C135,0,1,FALSE)/$C$132</f>
        <v/>
      </c>
      <c r="G135" s="36">
        <f>F135/E135</f>
        <v/>
      </c>
    </row>
    <row r="136" ht="17.5" customHeight="1">
      <c r="A136" s="14" t="inlineStr">
        <is>
          <t>Ответ</t>
        </is>
      </c>
      <c r="B136" s="25" t="inlineStr">
        <is>
          <t>Ответ: P(1300 ч)</t>
        </is>
      </c>
      <c r="C136" s="31">
        <f>E135</f>
        <v/>
      </c>
      <c r="D136" s="18" t="inlineStr"/>
      <c r="E136" s="19" t="inlineStr"/>
      <c r="F136" s="20" t="n"/>
      <c r="G136" s="20" t="n"/>
      <c r="H136" s="20" t="n"/>
    </row>
    <row r="137" ht="17.5" customHeight="1">
      <c r="B137" s="25" t="inlineStr">
        <is>
          <t>Ответ: λ(1300 ч)</t>
        </is>
      </c>
      <c r="C137" s="44">
        <f>G135</f>
        <v/>
      </c>
      <c r="D137" s="18" t="inlineStr">
        <is>
          <t>1/ч</t>
        </is>
      </c>
      <c r="E137" s="19" t="inlineStr"/>
      <c r="F137" s="20" t="n"/>
      <c r="G137" s="20" t="n"/>
      <c r="H137" s="20" t="n"/>
    </row>
  </sheetData>
  <mergeCells count="110">
    <mergeCell ref="B40:H40"/>
    <mergeCell ref="E32:H32"/>
    <mergeCell ref="B51:H51"/>
    <mergeCell ref="E125:H125"/>
    <mergeCell ref="E37:H37"/>
    <mergeCell ref="E97:H97"/>
    <mergeCell ref="E109:H109"/>
    <mergeCell ref="E96:H96"/>
    <mergeCell ref="E62:H62"/>
    <mergeCell ref="E71:H71"/>
    <mergeCell ref="E24:H24"/>
    <mergeCell ref="E98:H98"/>
    <mergeCell ref="B66:H66"/>
    <mergeCell ref="E79:H79"/>
    <mergeCell ref="E73:H73"/>
    <mergeCell ref="E88:H88"/>
    <mergeCell ref="A104:H104"/>
    <mergeCell ref="E131:H131"/>
    <mergeCell ref="E82:H82"/>
    <mergeCell ref="B2:H2"/>
    <mergeCell ref="B130:H130"/>
    <mergeCell ref="E10:H10"/>
    <mergeCell ref="E137:H137"/>
    <mergeCell ref="E34:H34"/>
    <mergeCell ref="E74:H74"/>
    <mergeCell ref="E99:H99"/>
    <mergeCell ref="B116:H116"/>
    <mergeCell ref="B29:H29"/>
    <mergeCell ref="E49:H49"/>
    <mergeCell ref="E36:H36"/>
    <mergeCell ref="E119:H119"/>
    <mergeCell ref="E101:H101"/>
    <mergeCell ref="E113:H113"/>
    <mergeCell ref="E91:H91"/>
    <mergeCell ref="E100:H100"/>
    <mergeCell ref="B133:H133"/>
    <mergeCell ref="B15:H15"/>
    <mergeCell ref="E136:H136"/>
    <mergeCell ref="E75:H75"/>
    <mergeCell ref="E22:H22"/>
    <mergeCell ref="E93:H93"/>
    <mergeCell ref="E102:H102"/>
    <mergeCell ref="E3:H3"/>
    <mergeCell ref="E12:H12"/>
    <mergeCell ref="E21:H21"/>
    <mergeCell ref="B54:H54"/>
    <mergeCell ref="E122:H122"/>
    <mergeCell ref="A84:H84"/>
    <mergeCell ref="E67:H67"/>
    <mergeCell ref="E127:H127"/>
    <mergeCell ref="E48:H48"/>
    <mergeCell ref="E23:H23"/>
    <mergeCell ref="B105:H105"/>
    <mergeCell ref="E4:H4"/>
    <mergeCell ref="E87:H87"/>
    <mergeCell ref="A28:H28"/>
    <mergeCell ref="E90:H90"/>
    <mergeCell ref="E26:H26"/>
    <mergeCell ref="E110:H110"/>
    <mergeCell ref="E16:H16"/>
    <mergeCell ref="E76:H76"/>
    <mergeCell ref="E25:H25"/>
    <mergeCell ref="B5:H5"/>
    <mergeCell ref="B85:H85"/>
    <mergeCell ref="E18:H18"/>
    <mergeCell ref="E50:H50"/>
    <mergeCell ref="E121:H121"/>
    <mergeCell ref="E68:H68"/>
    <mergeCell ref="E117:H117"/>
    <mergeCell ref="E55:H55"/>
    <mergeCell ref="E92:H92"/>
    <mergeCell ref="E132:H132"/>
    <mergeCell ref="A129:H129"/>
    <mergeCell ref="E107:H107"/>
    <mergeCell ref="E20:H20"/>
    <mergeCell ref="E94:H94"/>
    <mergeCell ref="E78:H78"/>
    <mergeCell ref="A53:H53"/>
    <mergeCell ref="E118:H118"/>
    <mergeCell ref="E31:H31"/>
    <mergeCell ref="A115:H115"/>
    <mergeCell ref="E108:H108"/>
    <mergeCell ref="E86:H86"/>
    <mergeCell ref="E80:H80"/>
    <mergeCell ref="E95:H95"/>
    <mergeCell ref="E89:H89"/>
    <mergeCell ref="A39:H39"/>
    <mergeCell ref="E70:H70"/>
    <mergeCell ref="E57:H57"/>
    <mergeCell ref="E120:H120"/>
    <mergeCell ref="E72:H72"/>
    <mergeCell ref="A1:H1"/>
    <mergeCell ref="E41:H41"/>
    <mergeCell ref="E81:H81"/>
    <mergeCell ref="B63:H63"/>
    <mergeCell ref="E56:H56"/>
    <mergeCell ref="A65:H65"/>
    <mergeCell ref="E43:H43"/>
    <mergeCell ref="E106:H106"/>
    <mergeCell ref="E33:H33"/>
    <mergeCell ref="E42:H42"/>
    <mergeCell ref="E17:H17"/>
    <mergeCell ref="E126:H126"/>
    <mergeCell ref="E35:H35"/>
    <mergeCell ref="A14:H14"/>
    <mergeCell ref="E19:H19"/>
    <mergeCell ref="E69:H69"/>
    <mergeCell ref="E30:H30"/>
    <mergeCell ref="E77:H77"/>
    <mergeCell ref="E11:H1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2" customHeight="1">
      <c r="A1" s="13" t="inlineStr">
        <is>
          <t>Задача 4.8. Число отказавших изделий при t = 9000 ч (экспонента со сдвигом)</t>
        </is>
      </c>
    </row>
    <row r="2" ht="33" customHeight="1">
      <c r="A2" s="14" t="inlineStr">
        <is>
          <t>Условие</t>
        </is>
      </c>
      <c r="B2" s="15" t="inlineStr">
        <is>
          <t>Минимальная наработка на отказ 3000 ч, средняя наработка 1200 ч. Найти число отказавших изделий при t = 9000 ч и характеристики надёжности. До t₀ отказов нет, дальше интенсивность постоянна.</t>
        </is>
      </c>
    </row>
    <row r="3" ht="17.5" customHeight="1">
      <c r="A3" s="14" t="inlineStr">
        <is>
          <t>Дано</t>
        </is>
      </c>
      <c r="B3" s="16" t="inlineStr">
        <is>
          <t>Минимальная наработка t₀</t>
        </is>
      </c>
      <c r="C3" s="17" t="n">
        <v>3000</v>
      </c>
      <c r="D3" s="18" t="inlineStr">
        <is>
          <t>ч</t>
        </is>
      </c>
      <c r="E3" s="19" t="inlineStr">
        <is>
          <t>задано</t>
        </is>
      </c>
      <c r="F3" s="20" t="n"/>
      <c r="G3" s="20" t="n"/>
      <c r="H3" s="20" t="n"/>
    </row>
    <row r="4" ht="32" customHeight="1">
      <c r="B4" s="16" t="inlineStr">
        <is>
          <t>Средняя наработка сверх t₀, 1/λ</t>
        </is>
      </c>
      <c r="C4" s="17" t="n">
        <v>1200</v>
      </c>
      <c r="D4" s="18" t="inlineStr">
        <is>
          <t>ч</t>
        </is>
      </c>
      <c r="E4" s="19" t="inlineStr">
        <is>
          <t>трактуем как среднее превышение над t₀ (иначе среднее &lt; t₀ — абсурд)</t>
        </is>
      </c>
      <c r="F4" s="20" t="n"/>
      <c r="G4" s="20" t="n"/>
      <c r="H4" s="20" t="n"/>
    </row>
    <row r="5" ht="17.5" customHeight="1">
      <c r="B5" s="16" t="inlineStr">
        <is>
          <t>Наработка t</t>
        </is>
      </c>
      <c r="C5" s="17" t="n">
        <v>9000</v>
      </c>
      <c r="D5" s="18" t="inlineStr">
        <is>
          <t>ч</t>
        </is>
      </c>
      <c r="E5" s="19" t="inlineStr">
        <is>
          <t>задано</t>
        </is>
      </c>
      <c r="F5" s="20" t="n"/>
      <c r="G5" s="20" t="n"/>
      <c r="H5" s="20" t="n"/>
    </row>
    <row r="6" ht="32" customHeight="1">
      <c r="B6" s="16" t="inlineStr">
        <is>
          <t>Число испытуемых изделий N</t>
        </is>
      </c>
      <c r="C6" s="27" t="n">
        <v>100</v>
      </c>
      <c r="D6" s="18" t="inlineStr">
        <is>
          <t>шт</t>
        </is>
      </c>
      <c r="E6" s="19" t="inlineStr">
        <is>
          <t>ДОПУЩЕНИЕ: в условии не задано, принято 100 шт (можно изменить)</t>
        </is>
      </c>
      <c r="F6" s="20" t="n"/>
      <c r="G6" s="20" t="n"/>
      <c r="H6" s="20" t="n"/>
    </row>
    <row r="7" ht="17.5" customHeight="1">
      <c r="A7" s="14" t="inlineStr">
        <is>
          <t>Решение</t>
        </is>
      </c>
      <c r="B7" s="16" t="inlineStr">
        <is>
          <t>Интенсивность отказов λ = 1/m</t>
        </is>
      </c>
      <c r="C7" s="46">
        <f>1/$C$4</f>
        <v/>
      </c>
      <c r="D7" s="18" t="inlineStr">
        <is>
          <t>1/ч</t>
        </is>
      </c>
      <c r="E7" s="19" t="inlineStr"/>
      <c r="F7" s="20" t="n"/>
      <c r="G7" s="20" t="n"/>
      <c r="H7" s="20" t="n"/>
    </row>
    <row r="8" ht="17.5" customHeight="1">
      <c r="B8" s="16" t="inlineStr">
        <is>
          <t>Время после порога τ = t − t₀</t>
        </is>
      </c>
      <c r="C8" s="28">
        <f>$C$5-$C$3</f>
        <v/>
      </c>
      <c r="D8" s="18" t="inlineStr">
        <is>
          <t>ч</t>
        </is>
      </c>
      <c r="E8" s="19" t="inlineStr"/>
      <c r="F8" s="20" t="n"/>
      <c r="G8" s="20" t="n"/>
      <c r="H8" s="20" t="n"/>
    </row>
    <row r="9" ht="17.5" customHeight="1">
      <c r="B9" s="16" t="inlineStr">
        <is>
          <t>P(t) = exp(−λ·τ)</t>
        </is>
      </c>
      <c r="C9" s="47">
        <f>EXP(-$C$7*$C$8)</f>
        <v/>
      </c>
      <c r="D9" s="18" t="inlineStr"/>
      <c r="E9" s="19" t="inlineStr"/>
      <c r="F9" s="20" t="n"/>
      <c r="G9" s="20" t="n"/>
      <c r="H9" s="20" t="n"/>
    </row>
    <row r="10" ht="17.5" customHeight="1">
      <c r="B10" s="16" t="inlineStr">
        <is>
          <t>Q(t) = 1 − P(t)</t>
        </is>
      </c>
      <c r="C10" s="47">
        <f>1-$C$9</f>
        <v/>
      </c>
      <c r="D10" s="18" t="inlineStr"/>
      <c r="E10" s="19" t="inlineStr"/>
      <c r="F10" s="20" t="n"/>
      <c r="G10" s="20" t="n"/>
      <c r="H10" s="20" t="n"/>
    </row>
    <row r="11" ht="17.5" customHeight="1">
      <c r="B11" s="16" t="inlineStr">
        <is>
          <t>f(t) = λ·P(t)</t>
        </is>
      </c>
      <c r="C11" s="46">
        <f>$C$7*$C$9</f>
        <v/>
      </c>
      <c r="D11" s="18" t="inlineStr">
        <is>
          <t>1/ч</t>
        </is>
      </c>
      <c r="E11" s="19" t="inlineStr"/>
      <c r="F11" s="20" t="n"/>
      <c r="G11" s="20" t="n"/>
      <c r="H11" s="20" t="n"/>
    </row>
    <row r="12" ht="17.5" customHeight="1">
      <c r="B12" s="16" t="inlineStr">
        <is>
          <t>λ(t) = f(t)/P(t)</t>
        </is>
      </c>
      <c r="C12" s="46">
        <f>$C$11/$C$9</f>
        <v/>
      </c>
      <c r="D12" s="18" t="inlineStr">
        <is>
          <t>1/ч</t>
        </is>
      </c>
      <c r="E12" s="19" t="inlineStr">
        <is>
          <t>при t &gt; t₀ интенсивность постоянна</t>
        </is>
      </c>
      <c r="F12" s="20" t="n"/>
      <c r="G12" s="20" t="n"/>
      <c r="H12" s="20" t="n"/>
    </row>
    <row r="13" ht="17.5" customHeight="1">
      <c r="B13" s="16" t="inlineStr">
        <is>
          <t>Полная средняя наработка Mt = t₀ + 1/λ</t>
        </is>
      </c>
      <c r="C13" s="28">
        <f>$C$3+$C$4</f>
        <v/>
      </c>
      <c r="D13" s="18" t="inlineStr">
        <is>
          <t>ч</t>
        </is>
      </c>
      <c r="E13" s="19" t="inlineStr"/>
      <c r="F13" s="20" t="n"/>
      <c r="G13" s="20" t="n"/>
      <c r="H13" s="20" t="n"/>
    </row>
    <row r="14" ht="17.5" customHeight="1">
      <c r="A14" s="14" t="inlineStr">
        <is>
          <t>Ответ</t>
        </is>
      </c>
      <c r="B14" s="25" t="inlineStr">
        <is>
          <t>Ответ: число отказавших изделий при t = 9000 ч</t>
        </is>
      </c>
      <c r="C14" s="40">
        <f>ROUND($C$6*$C$10,0)</f>
        <v/>
      </c>
      <c r="D14" s="18" t="inlineStr">
        <is>
          <t>шт</t>
        </is>
      </c>
      <c r="E14" s="19" t="inlineStr">
        <is>
          <t>для N = 100</t>
        </is>
      </c>
      <c r="F14" s="20" t="n"/>
      <c r="G14" s="20" t="n"/>
      <c r="H14" s="20" t="n"/>
    </row>
    <row r="15" ht="17.5" customHeight="1">
      <c r="B15" s="25" t="inlineStr">
        <is>
          <t>Ответ: P(9000 ч)</t>
        </is>
      </c>
      <c r="C15" s="48">
        <f>$C$9</f>
        <v/>
      </c>
      <c r="D15" s="18" t="inlineStr"/>
      <c r="E15" s="19" t="inlineStr"/>
      <c r="F15" s="20" t="n"/>
      <c r="G15" s="20" t="n"/>
      <c r="H15" s="20" t="n"/>
    </row>
    <row r="16" ht="17.5" customHeight="1">
      <c r="B16" s="25" t="inlineStr">
        <is>
          <t>Ответ: Q(9000 ч)</t>
        </is>
      </c>
      <c r="C16" s="48">
        <f>$C$10</f>
        <v/>
      </c>
      <c r="D16" s="18" t="inlineStr"/>
      <c r="E16" s="19" t="inlineStr"/>
      <c r="F16" s="20" t="n"/>
      <c r="G16" s="20" t="n"/>
      <c r="H16" s="20" t="n"/>
    </row>
    <row r="17" ht="17.5" customHeight="1">
      <c r="B17" s="25" t="inlineStr">
        <is>
          <t>Ответ: λ(t)</t>
        </is>
      </c>
      <c r="C17" s="44">
        <f>$C$12</f>
        <v/>
      </c>
      <c r="D17" s="18" t="inlineStr">
        <is>
          <t>1/ч</t>
        </is>
      </c>
      <c r="E17" s="19" t="inlineStr"/>
      <c r="F17" s="20" t="n"/>
      <c r="G17" s="20" t="n"/>
      <c r="H17" s="20" t="n"/>
    </row>
    <row r="19" ht="22" customHeight="1">
      <c r="A19" s="13" t="inlineStr">
        <is>
          <t>Задача 4.12. Интенсивность отказов и средняя наработка по вероятности безотказной работы</t>
        </is>
      </c>
    </row>
    <row r="20" ht="33" customHeight="1">
      <c r="A20" s="14" t="inlineStr">
        <is>
          <t>Условие</t>
        </is>
      </c>
      <c r="B20" s="15" t="inlineStr">
        <is>
          <t>Вероятность безотказной работы автоматической линии за 120 ч равна 0,95. Найти интенсивность отказов в момент 120 ч и среднее время безотказной работы (закон экспоненциальный).</t>
        </is>
      </c>
    </row>
    <row r="21" ht="17.5" customHeight="1">
      <c r="A21" s="14" t="inlineStr">
        <is>
          <t>Дано</t>
        </is>
      </c>
      <c r="B21" s="16" t="inlineStr">
        <is>
          <t>Вероятность безотказной работы P(120)</t>
        </is>
      </c>
      <c r="C21" s="32" t="n">
        <v>0.95</v>
      </c>
      <c r="D21" s="18" t="inlineStr"/>
      <c r="E21" s="19" t="inlineStr">
        <is>
          <t>задано</t>
        </is>
      </c>
      <c r="F21" s="20" t="n"/>
      <c r="G21" s="20" t="n"/>
      <c r="H21" s="20" t="n"/>
    </row>
    <row r="22" ht="17.5" customHeight="1">
      <c r="B22" s="16" t="inlineStr">
        <is>
          <t>Время t</t>
        </is>
      </c>
      <c r="C22" s="17" t="n">
        <v>120</v>
      </c>
      <c r="D22" s="18" t="inlineStr">
        <is>
          <t>ч</t>
        </is>
      </c>
      <c r="E22" s="19" t="inlineStr">
        <is>
          <t>задано</t>
        </is>
      </c>
      <c r="F22" s="20" t="n"/>
      <c r="G22" s="20" t="n"/>
      <c r="H22" s="20" t="n"/>
    </row>
    <row r="23" ht="17.5" customHeight="1">
      <c r="A23" s="14" t="inlineStr">
        <is>
          <t>Решение</t>
        </is>
      </c>
      <c r="B23" s="16" t="inlineStr">
        <is>
          <t>λ = −ln P(t) / t</t>
        </is>
      </c>
      <c r="C23" s="47">
        <f>-LN($C$21)/$C$22</f>
        <v/>
      </c>
      <c r="D23" s="18" t="inlineStr">
        <is>
          <t>1/ч</t>
        </is>
      </c>
      <c r="E23" s="19" t="inlineStr">
        <is>
          <t>из P = exp(−λt)</t>
        </is>
      </c>
      <c r="F23" s="20" t="n"/>
      <c r="G23" s="20" t="n"/>
      <c r="H23" s="20" t="n"/>
    </row>
    <row r="24" ht="17.5" customHeight="1">
      <c r="B24" s="16" t="inlineStr">
        <is>
          <t>Mt = 1/λ</t>
        </is>
      </c>
      <c r="C24" s="37">
        <f>1/$C$23</f>
        <v/>
      </c>
      <c r="D24" s="18" t="inlineStr">
        <is>
          <t>ч</t>
        </is>
      </c>
      <c r="E24" s="19" t="inlineStr"/>
      <c r="F24" s="20" t="n"/>
      <c r="G24" s="20" t="n"/>
      <c r="H24" s="20" t="n"/>
    </row>
    <row r="25" ht="17.5" customHeight="1">
      <c r="B25" s="16" t="inlineStr">
        <is>
          <t>Q(120) = 1 − P</t>
        </is>
      </c>
      <c r="C25" s="42">
        <f>1-$C$21</f>
        <v/>
      </c>
      <c r="D25" s="18" t="inlineStr"/>
      <c r="E25" s="19" t="inlineStr"/>
      <c r="F25" s="20" t="n"/>
      <c r="G25" s="20" t="n"/>
      <c r="H25" s="20" t="n"/>
    </row>
    <row r="26" ht="17.5" customHeight="1">
      <c r="B26" s="16" t="inlineStr">
        <is>
          <t>f(120) = λ·P</t>
        </is>
      </c>
      <c r="C26" s="47">
        <f>$C$23*$C$21</f>
        <v/>
      </c>
      <c r="D26" s="18" t="inlineStr">
        <is>
          <t>1/ч</t>
        </is>
      </c>
      <c r="E26" s="19" t="inlineStr"/>
      <c r="F26" s="20" t="n"/>
      <c r="G26" s="20" t="n"/>
      <c r="H26" s="20" t="n"/>
    </row>
    <row r="27" ht="17.5" customHeight="1">
      <c r="A27" s="14" t="inlineStr">
        <is>
          <t>Ответ</t>
        </is>
      </c>
      <c r="B27" s="25" t="inlineStr">
        <is>
          <t>Ответ: интенсивность отказов λ(120 ч)</t>
        </is>
      </c>
      <c r="C27" s="48">
        <f>$C$23</f>
        <v/>
      </c>
      <c r="D27" s="18" t="inlineStr">
        <is>
          <t>1/ч</t>
        </is>
      </c>
      <c r="E27" s="19" t="inlineStr">
        <is>
          <t>постоянна на всём периоде</t>
        </is>
      </c>
      <c r="F27" s="20" t="n"/>
      <c r="G27" s="20" t="n"/>
      <c r="H27" s="20" t="n"/>
    </row>
    <row r="28" ht="17.5" customHeight="1">
      <c r="B28" s="25" t="inlineStr">
        <is>
          <t>Ответ: среднее время безотказной работы Mt</t>
        </is>
      </c>
      <c r="C28" s="26">
        <f>$C$24</f>
        <v/>
      </c>
      <c r="D28" s="18" t="inlineStr">
        <is>
          <t>ч</t>
        </is>
      </c>
      <c r="E28" s="19" t="inlineStr"/>
      <c r="F28" s="20" t="n"/>
      <c r="G28" s="20" t="n"/>
      <c r="H28" s="20" t="n"/>
    </row>
    <row r="30" ht="22" customHeight="1">
      <c r="A30" s="13" t="inlineStr">
        <is>
          <t>Задача 4.13. Показатели по средней наработке</t>
        </is>
      </c>
    </row>
    <row r="31" ht="33" customHeight="1">
      <c r="A31" s="14" t="inlineStr">
        <is>
          <t>Условие</t>
        </is>
      </c>
      <c r="B31" s="15" t="inlineStr">
        <is>
          <t>Среднее время безотказной работы автоматической системы управления 640 ч (закон экспоненциальный). Найти вероятность безотказной работы за 120 ч, частоту и интенсивность отказов в момент 120 ч.</t>
        </is>
      </c>
    </row>
    <row r="32" ht="17.5" customHeight="1">
      <c r="A32" s="14" t="inlineStr">
        <is>
          <t>Дано</t>
        </is>
      </c>
      <c r="B32" s="16" t="inlineStr">
        <is>
          <t>Среднее время безотказной работы Mt</t>
        </is>
      </c>
      <c r="C32" s="17" t="n">
        <v>640</v>
      </c>
      <c r="D32" s="18" t="inlineStr">
        <is>
          <t>ч</t>
        </is>
      </c>
      <c r="E32" s="19" t="inlineStr">
        <is>
          <t>задано</t>
        </is>
      </c>
      <c r="F32" s="20" t="n"/>
      <c r="G32" s="20" t="n"/>
      <c r="H32" s="20" t="n"/>
    </row>
    <row r="33" ht="17.5" customHeight="1">
      <c r="B33" s="16" t="inlineStr">
        <is>
          <t>Время t</t>
        </is>
      </c>
      <c r="C33" s="17" t="n">
        <v>120</v>
      </c>
      <c r="D33" s="18" t="inlineStr">
        <is>
          <t>ч</t>
        </is>
      </c>
      <c r="E33" s="19" t="inlineStr">
        <is>
          <t>задано</t>
        </is>
      </c>
      <c r="F33" s="20" t="n"/>
      <c r="G33" s="20" t="n"/>
      <c r="H33" s="20" t="n"/>
    </row>
    <row r="34" ht="17.5" customHeight="1">
      <c r="A34" s="14" t="inlineStr">
        <is>
          <t>Решение</t>
        </is>
      </c>
      <c r="B34" s="16" t="inlineStr">
        <is>
          <t>λ = 1/Mt</t>
        </is>
      </c>
      <c r="C34" s="47">
        <f>1/$C$32</f>
        <v/>
      </c>
      <c r="D34" s="18" t="inlineStr">
        <is>
          <t>1/ч</t>
        </is>
      </c>
      <c r="E34" s="19" t="inlineStr"/>
      <c r="F34" s="20" t="n"/>
      <c r="G34" s="20" t="n"/>
      <c r="H34" s="20" t="n"/>
    </row>
    <row r="35" ht="17.5" customHeight="1">
      <c r="B35" s="16" t="inlineStr">
        <is>
          <t>P(120) = exp(−λ·t)</t>
        </is>
      </c>
      <c r="C35" s="29">
        <f>EXP(-$C$34*$C$33)</f>
        <v/>
      </c>
      <c r="D35" s="18" t="inlineStr"/>
      <c r="E35" s="19" t="inlineStr"/>
      <c r="F35" s="20" t="n"/>
      <c r="G35" s="20" t="n"/>
      <c r="H35" s="20" t="n"/>
    </row>
    <row r="36" ht="17.5" customHeight="1">
      <c r="B36" s="16" t="inlineStr">
        <is>
          <t>f(120) = λ·P(120)</t>
        </is>
      </c>
      <c r="C36" s="47">
        <f>$C$34*$C$35</f>
        <v/>
      </c>
      <c r="D36" s="18" t="inlineStr">
        <is>
          <t>1/ч</t>
        </is>
      </c>
      <c r="E36" s="19" t="inlineStr">
        <is>
          <t>частота (плотность) отказов</t>
        </is>
      </c>
      <c r="F36" s="20" t="n"/>
      <c r="G36" s="20" t="n"/>
      <c r="H36" s="20" t="n"/>
    </row>
    <row r="37" ht="17.5" customHeight="1">
      <c r="A37" s="14" t="inlineStr">
        <is>
          <t>Ответ</t>
        </is>
      </c>
      <c r="B37" s="25" t="inlineStr">
        <is>
          <t>Ответ: P(120 ч)</t>
        </is>
      </c>
      <c r="C37" s="31">
        <f>$C$35</f>
        <v/>
      </c>
      <c r="D37" s="18" t="inlineStr"/>
      <c r="E37" s="19" t="inlineStr"/>
      <c r="F37" s="20" t="n"/>
      <c r="G37" s="20" t="n"/>
      <c r="H37" s="20" t="n"/>
    </row>
    <row r="38" ht="17.5" customHeight="1">
      <c r="B38" s="25" t="inlineStr">
        <is>
          <t>Ответ: частота отказов f(120 ч)</t>
        </is>
      </c>
      <c r="C38" s="48">
        <f>$C$36</f>
        <v/>
      </c>
      <c r="D38" s="18" t="inlineStr">
        <is>
          <t>1/ч</t>
        </is>
      </c>
      <c r="E38" s="19" t="inlineStr"/>
      <c r="F38" s="20" t="n"/>
      <c r="G38" s="20" t="n"/>
      <c r="H38" s="20" t="n"/>
    </row>
    <row r="39" ht="17.5" customHeight="1">
      <c r="B39" s="25" t="inlineStr">
        <is>
          <t>Ответ: интенсивность отказов λ</t>
        </is>
      </c>
      <c r="C39" s="48">
        <f>$C$34</f>
        <v/>
      </c>
      <c r="D39" s="18" t="inlineStr">
        <is>
          <t>1/ч</t>
        </is>
      </c>
      <c r="E39" s="19" t="inlineStr"/>
      <c r="F39" s="20" t="n"/>
      <c r="G39" s="20" t="n"/>
      <c r="H39" s="20" t="n"/>
    </row>
  </sheetData>
  <mergeCells count="37">
    <mergeCell ref="E26:H26"/>
    <mergeCell ref="A30:H30"/>
    <mergeCell ref="E16:H16"/>
    <mergeCell ref="E7:H7"/>
    <mergeCell ref="E25:H25"/>
    <mergeCell ref="A1:H1"/>
    <mergeCell ref="E32:H32"/>
    <mergeCell ref="B20:H20"/>
    <mergeCell ref="E37:H37"/>
    <mergeCell ref="E22:H22"/>
    <mergeCell ref="E3:H3"/>
    <mergeCell ref="E12:H12"/>
    <mergeCell ref="E21:H21"/>
    <mergeCell ref="E33:H33"/>
    <mergeCell ref="E24:H24"/>
    <mergeCell ref="E5:H5"/>
    <mergeCell ref="B31:H31"/>
    <mergeCell ref="E14:H14"/>
    <mergeCell ref="E17:H17"/>
    <mergeCell ref="E23:H23"/>
    <mergeCell ref="E39:H39"/>
    <mergeCell ref="E8:H8"/>
    <mergeCell ref="E35:H35"/>
    <mergeCell ref="E4:H4"/>
    <mergeCell ref="E38:H38"/>
    <mergeCell ref="B2:H2"/>
    <mergeCell ref="E10:H10"/>
    <mergeCell ref="E28:H28"/>
    <mergeCell ref="E13:H13"/>
    <mergeCell ref="E9:H9"/>
    <mergeCell ref="E34:H34"/>
    <mergeCell ref="E6:H6"/>
    <mergeCell ref="E15:H15"/>
    <mergeCell ref="A19:H19"/>
    <mergeCell ref="E11:H11"/>
    <mergeCell ref="E27:H27"/>
    <mergeCell ref="E36:H36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4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2" customHeight="1">
      <c r="A1" s="13" t="inlineStr">
        <is>
          <t>Задача 4.11. Закон Вейбулла, t = 100 ч</t>
        </is>
      </c>
    </row>
    <row r="2" ht="33" customHeight="1">
      <c r="A2" s="14" t="inlineStr">
        <is>
          <t>Условие</t>
        </is>
      </c>
      <c r="B2" s="15" t="inlineStr">
        <is>
          <t>Наработка до отказа подчиняется закону Вейбулла с α = 1,5 и λ = 10⁻⁴ 1/ч. Найти количественные характеристики надёжности за время работы 100 ч.</t>
        </is>
      </c>
    </row>
    <row r="3" ht="17.5" customHeight="1">
      <c r="A3" s="14" t="inlineStr">
        <is>
          <t>Дано</t>
        </is>
      </c>
      <c r="B3" s="16" t="inlineStr">
        <is>
          <t>Параметр формы α</t>
        </is>
      </c>
      <c r="C3" s="49" t="n">
        <v>1.5</v>
      </c>
      <c r="D3" s="18" t="inlineStr"/>
      <c r="E3" s="19" t="inlineStr">
        <is>
          <t>задано</t>
        </is>
      </c>
      <c r="F3" s="20" t="n"/>
      <c r="G3" s="20" t="n"/>
      <c r="H3" s="20" t="n"/>
    </row>
    <row r="4" ht="17.5" customHeight="1">
      <c r="B4" s="16" t="inlineStr">
        <is>
          <t>Параметр масштаба λ</t>
        </is>
      </c>
      <c r="C4" s="50" t="n">
        <v>0.0001</v>
      </c>
      <c r="D4" s="18" t="inlineStr">
        <is>
          <t>1/ч^α</t>
        </is>
      </c>
      <c r="E4" s="19" t="inlineStr">
        <is>
          <t>задано</t>
        </is>
      </c>
      <c r="F4" s="20" t="n"/>
      <c r="G4" s="20" t="n"/>
      <c r="H4" s="20" t="n"/>
    </row>
    <row r="5" ht="17.5" customHeight="1">
      <c r="B5" s="16" t="inlineStr">
        <is>
          <t>Время работы t</t>
        </is>
      </c>
      <c r="C5" s="17" t="n">
        <v>100</v>
      </c>
      <c r="D5" s="18" t="inlineStr">
        <is>
          <t>ч</t>
        </is>
      </c>
      <c r="E5" s="19" t="inlineStr">
        <is>
          <t>задано</t>
        </is>
      </c>
      <c r="F5" s="20" t="n"/>
      <c r="G5" s="20" t="n"/>
      <c r="H5" s="20" t="n"/>
    </row>
    <row r="6" ht="17.5" customHeight="1">
      <c r="A6" s="14" t="inlineStr">
        <is>
          <t>Решение</t>
        </is>
      </c>
      <c r="B6" s="16" t="inlineStr">
        <is>
          <t>Показатель экспоненты λ·t^α</t>
        </is>
      </c>
      <c r="C6" s="47">
        <f>$C$4*$C$5^$C$3</f>
        <v/>
      </c>
      <c r="D6" s="18" t="inlineStr"/>
      <c r="E6" s="19" t="inlineStr"/>
      <c r="F6" s="20" t="n"/>
      <c r="G6" s="20" t="n"/>
      <c r="H6" s="20" t="n"/>
    </row>
    <row r="7" ht="17.5" customHeight="1">
      <c r="B7" s="16" t="inlineStr">
        <is>
          <t>P(t) = exp(−λ·t^α)</t>
        </is>
      </c>
      <c r="C7" s="29">
        <f>EXP(-$C$6)</f>
        <v/>
      </c>
      <c r="D7" s="18" t="inlineStr"/>
      <c r="E7" s="19" t="inlineStr"/>
      <c r="F7" s="20" t="n"/>
      <c r="G7" s="20" t="n"/>
      <c r="H7" s="20" t="n"/>
    </row>
    <row r="8" ht="17.5" customHeight="1">
      <c r="B8" s="16" t="inlineStr">
        <is>
          <t>Q(t) = 1 − P(t)</t>
        </is>
      </c>
      <c r="C8" s="29">
        <f>1-$C$7</f>
        <v/>
      </c>
      <c r="D8" s="18" t="inlineStr"/>
      <c r="E8" s="19" t="inlineStr"/>
      <c r="F8" s="20" t="n"/>
      <c r="G8" s="20" t="n"/>
      <c r="H8" s="20" t="n"/>
    </row>
    <row r="9" ht="17.5" customHeight="1">
      <c r="B9" s="16" t="inlineStr">
        <is>
          <t>λ(t) = λ·α·t^(α−1)</t>
        </is>
      </c>
      <c r="C9" s="46">
        <f>$C$4*$C$3*$C$5^($C$3-1)</f>
        <v/>
      </c>
      <c r="D9" s="18" t="inlineStr">
        <is>
          <t>1/ч</t>
        </is>
      </c>
      <c r="E9" s="19" t="inlineStr">
        <is>
          <t>при α &gt; 1 возрастает</t>
        </is>
      </c>
      <c r="F9" s="20" t="n"/>
      <c r="G9" s="20" t="n"/>
      <c r="H9" s="20" t="n"/>
    </row>
    <row r="10" ht="17.5" customHeight="1">
      <c r="B10" s="16" t="inlineStr">
        <is>
          <t>f(t) = λ(t)·P(t)</t>
        </is>
      </c>
      <c r="C10" s="46">
        <f>$C$9*$C$7</f>
        <v/>
      </c>
      <c r="D10" s="18" t="inlineStr">
        <is>
          <t>1/ч</t>
        </is>
      </c>
      <c r="E10" s="19" t="inlineStr"/>
      <c r="F10" s="20" t="n"/>
      <c r="G10" s="20" t="n"/>
      <c r="H10" s="20" t="n"/>
    </row>
    <row r="11" ht="17.5" customHeight="1">
      <c r="B11" s="16" t="inlineStr">
        <is>
          <t>Γ(1 + 1/α)</t>
        </is>
      </c>
      <c r="C11" s="29">
        <f>EXP(GAMMALN(1+1/$C$3))</f>
        <v/>
      </c>
      <c r="D11" s="18" t="inlineStr"/>
      <c r="E11" s="19" t="inlineStr">
        <is>
          <t>Γ(x) = EXP(ГАММАНЛОГ(x))</t>
        </is>
      </c>
      <c r="F11" s="20" t="n"/>
      <c r="G11" s="20" t="n"/>
      <c r="H11" s="20" t="n"/>
    </row>
    <row r="12" ht="17.5" customHeight="1">
      <c r="B12" s="16" t="inlineStr">
        <is>
          <t>Γ(1 + 2/α)</t>
        </is>
      </c>
      <c r="C12" s="29">
        <f>EXP(GAMMALN(1+2/$C$3))</f>
        <v/>
      </c>
      <c r="D12" s="18" t="inlineStr"/>
      <c r="E12" s="19" t="inlineStr"/>
      <c r="F12" s="20" t="n"/>
      <c r="G12" s="20" t="n"/>
      <c r="H12" s="20" t="n"/>
    </row>
    <row r="13" ht="17.5" customHeight="1">
      <c r="B13" s="16" t="inlineStr">
        <is>
          <t>Средняя наработка Mt = Γ(1+1/α) / λ^(1/α)</t>
        </is>
      </c>
      <c r="C13" s="37">
        <f>$C$11/$C$4^(1/$C$3)</f>
        <v/>
      </c>
      <c r="D13" s="18" t="inlineStr">
        <is>
          <t>ч</t>
        </is>
      </c>
      <c r="E13" s="19" t="inlineStr"/>
      <c r="F13" s="20" t="n"/>
      <c r="G13" s="20" t="n"/>
      <c r="H13" s="20" t="n"/>
    </row>
    <row r="14" ht="17.5" customHeight="1">
      <c r="B14" s="16" t="inlineStr">
        <is>
          <t>СКО σt = √[(Γ(1+2/α) − Γ²(1+1/α)) / λ^(2/α)]</t>
        </is>
      </c>
      <c r="C14" s="37">
        <f>SQRT(($C$12-$C$11^2)/$C$4^(2/$C$3))</f>
        <v/>
      </c>
      <c r="D14" s="18" t="inlineStr">
        <is>
          <t>ч</t>
        </is>
      </c>
      <c r="E14" s="19" t="inlineStr"/>
      <c r="F14" s="20" t="n"/>
      <c r="G14" s="20" t="n"/>
      <c r="H14" s="20" t="n"/>
    </row>
    <row r="15" ht="17.5" customHeight="1">
      <c r="B15" s="16" t="inlineStr">
        <is>
          <t>Коэффициент вариации v = σt/Mt</t>
        </is>
      </c>
      <c r="C15" s="29">
        <f>$C$14/$C$13</f>
        <v/>
      </c>
      <c r="D15" s="18" t="inlineStr"/>
      <c r="E15" s="19" t="inlineStr"/>
      <c r="F15" s="20" t="n"/>
      <c r="G15" s="20" t="n"/>
      <c r="H15" s="20" t="n"/>
    </row>
    <row r="16" ht="17.5" customHeight="1">
      <c r="A16" s="14" t="inlineStr">
        <is>
          <t>Ответ</t>
        </is>
      </c>
      <c r="B16" s="25" t="inlineStr">
        <is>
          <t>Ответ: P(100 ч)</t>
        </is>
      </c>
      <c r="C16" s="31">
        <f>$C$7</f>
        <v/>
      </c>
      <c r="D16" s="18" t="inlineStr"/>
      <c r="E16" s="19" t="inlineStr"/>
      <c r="F16" s="20" t="n"/>
      <c r="G16" s="20" t="n"/>
      <c r="H16" s="20" t="n"/>
    </row>
    <row r="17" ht="17.5" customHeight="1">
      <c r="B17" s="25" t="inlineStr">
        <is>
          <t>Ответ: Q(100 ч)</t>
        </is>
      </c>
      <c r="C17" s="31">
        <f>$C$8</f>
        <v/>
      </c>
      <c r="D17" s="18" t="inlineStr"/>
      <c r="E17" s="19" t="inlineStr"/>
      <c r="F17" s="20" t="n"/>
      <c r="G17" s="20" t="n"/>
      <c r="H17" s="20" t="n"/>
    </row>
    <row r="18" ht="17.5" customHeight="1">
      <c r="B18" s="25" t="inlineStr">
        <is>
          <t>Ответ: f(100 ч)</t>
        </is>
      </c>
      <c r="C18" s="44">
        <f>$C$10</f>
        <v/>
      </c>
      <c r="D18" s="18" t="inlineStr">
        <is>
          <t>1/ч</t>
        </is>
      </c>
      <c r="E18" s="19" t="inlineStr"/>
      <c r="F18" s="20" t="n"/>
      <c r="G18" s="20" t="n"/>
      <c r="H18" s="20" t="n"/>
    </row>
    <row r="19" ht="17.5" customHeight="1">
      <c r="B19" s="25" t="inlineStr">
        <is>
          <t>Ответ: λ(100 ч)</t>
        </is>
      </c>
      <c r="C19" s="44">
        <f>$C$9</f>
        <v/>
      </c>
      <c r="D19" s="18" t="inlineStr">
        <is>
          <t>1/ч</t>
        </is>
      </c>
      <c r="E19" s="19" t="inlineStr"/>
      <c r="F19" s="20" t="n"/>
      <c r="G19" s="20" t="n"/>
      <c r="H19" s="20" t="n"/>
    </row>
    <row r="20" ht="17.5" customHeight="1">
      <c r="B20" s="25" t="inlineStr">
        <is>
          <t>Ответ: средняя наработка Mt</t>
        </is>
      </c>
      <c r="C20" s="26">
        <f>$C$13</f>
        <v/>
      </c>
      <c r="D20" s="18" t="inlineStr">
        <is>
          <t>ч</t>
        </is>
      </c>
      <c r="E20" s="19" t="inlineStr"/>
      <c r="F20" s="20" t="n"/>
      <c r="G20" s="20" t="n"/>
      <c r="H20" s="20" t="n"/>
    </row>
    <row r="21" ht="17.5" customHeight="1">
      <c r="B21" s="25" t="inlineStr">
        <is>
          <t>Ответ: СКО σt</t>
        </is>
      </c>
      <c r="C21" s="26">
        <f>$C$14</f>
        <v/>
      </c>
      <c r="D21" s="18" t="inlineStr">
        <is>
          <t>ч</t>
        </is>
      </c>
      <c r="E21" s="19" t="inlineStr"/>
      <c r="F21" s="20" t="n"/>
      <c r="G21" s="20" t="n"/>
      <c r="H21" s="20" t="n"/>
    </row>
    <row r="22" ht="17.5" customHeight="1">
      <c r="B22" s="25" t="inlineStr">
        <is>
          <t>Ответ: коэффициент вариации v</t>
        </is>
      </c>
      <c r="C22" s="31">
        <f>$C$15</f>
        <v/>
      </c>
      <c r="D22" s="18" t="inlineStr"/>
      <c r="E22" s="19" t="inlineStr"/>
      <c r="F22" s="20" t="n"/>
      <c r="G22" s="20" t="n"/>
      <c r="H22" s="20" t="n"/>
    </row>
    <row r="24" ht="22" customHeight="1">
      <c r="A24" s="13" t="inlineStr">
        <is>
          <t>Задача 4.14. Закон Вейбулла, t = 150 ч</t>
        </is>
      </c>
    </row>
    <row r="25" ht="33" customHeight="1">
      <c r="A25" s="14" t="inlineStr">
        <is>
          <t>Условие</t>
        </is>
      </c>
      <c r="B25" s="15" t="inlineStr">
        <is>
          <t>Время исправной работы скоростных шарикоподшипников подчиняется закону Вейбулла с α = 2,6 и λ = 1,65·10⁻⁷ 1/ч. Найти характеристики надёжности для времени 150 ч и среднее время безотказной работы.</t>
        </is>
      </c>
    </row>
    <row r="26" ht="17.5" customHeight="1">
      <c r="A26" s="14" t="inlineStr">
        <is>
          <t>Дано</t>
        </is>
      </c>
      <c r="B26" s="16" t="inlineStr">
        <is>
          <t>Параметр формы α</t>
        </is>
      </c>
      <c r="C26" s="49" t="n">
        <v>2.6</v>
      </c>
      <c r="D26" s="18" t="inlineStr"/>
      <c r="E26" s="19" t="inlineStr">
        <is>
          <t>задано</t>
        </is>
      </c>
      <c r="F26" s="20" t="n"/>
      <c r="G26" s="20" t="n"/>
      <c r="H26" s="20" t="n"/>
    </row>
    <row r="27" ht="17.5" customHeight="1">
      <c r="B27" s="16" t="inlineStr">
        <is>
          <t>Параметр масштаба λ</t>
        </is>
      </c>
      <c r="C27" s="50" t="n">
        <v>1.65e-07</v>
      </c>
      <c r="D27" s="18" t="inlineStr">
        <is>
          <t>1/ч^α</t>
        </is>
      </c>
      <c r="E27" s="19" t="inlineStr">
        <is>
          <t>задано</t>
        </is>
      </c>
      <c r="F27" s="20" t="n"/>
      <c r="G27" s="20" t="n"/>
      <c r="H27" s="20" t="n"/>
    </row>
    <row r="28" ht="17.5" customHeight="1">
      <c r="B28" s="16" t="inlineStr">
        <is>
          <t>Время работы t</t>
        </is>
      </c>
      <c r="C28" s="17" t="n">
        <v>150</v>
      </c>
      <c r="D28" s="18" t="inlineStr">
        <is>
          <t>ч</t>
        </is>
      </c>
      <c r="E28" s="19" t="inlineStr">
        <is>
          <t>задано</t>
        </is>
      </c>
      <c r="F28" s="20" t="n"/>
      <c r="G28" s="20" t="n"/>
      <c r="H28" s="20" t="n"/>
    </row>
    <row r="29" ht="17.5" customHeight="1">
      <c r="A29" s="14" t="inlineStr">
        <is>
          <t>Решение</t>
        </is>
      </c>
      <c r="B29" s="16" t="inlineStr">
        <is>
          <t>Показатель экспоненты λ·t^α</t>
        </is>
      </c>
      <c r="C29" s="47">
        <f>$C$27*$C$28^$C$26</f>
        <v/>
      </c>
      <c r="D29" s="18" t="inlineStr"/>
      <c r="E29" s="19" t="inlineStr"/>
      <c r="F29" s="20" t="n"/>
      <c r="G29" s="20" t="n"/>
      <c r="H29" s="20" t="n"/>
    </row>
    <row r="30" ht="17.5" customHeight="1">
      <c r="B30" s="16" t="inlineStr">
        <is>
          <t>P(t) = exp(−λ·t^α)</t>
        </is>
      </c>
      <c r="C30" s="47">
        <f>EXP(-$C$29)</f>
        <v/>
      </c>
      <c r="D30" s="18" t="inlineStr"/>
      <c r="E30" s="19" t="inlineStr"/>
      <c r="F30" s="20" t="n"/>
      <c r="G30" s="20" t="n"/>
      <c r="H30" s="20" t="n"/>
    </row>
    <row r="31" ht="17.5" customHeight="1">
      <c r="B31" s="16" t="inlineStr">
        <is>
          <t>Q(t) = 1 − P(t)</t>
        </is>
      </c>
      <c r="C31" s="47">
        <f>1-$C$30</f>
        <v/>
      </c>
      <c r="D31" s="18" t="inlineStr"/>
      <c r="E31" s="19" t="inlineStr"/>
      <c r="F31" s="20" t="n"/>
      <c r="G31" s="20" t="n"/>
      <c r="H31" s="20" t="n"/>
    </row>
    <row r="32" ht="17.5" customHeight="1">
      <c r="B32" s="16" t="inlineStr">
        <is>
          <t>λ(t) = λ·α·t^(α−1)</t>
        </is>
      </c>
      <c r="C32" s="46">
        <f>$C$27*$C$26*$C$28^($C$26-1)</f>
        <v/>
      </c>
      <c r="D32" s="18" t="inlineStr">
        <is>
          <t>1/ч</t>
        </is>
      </c>
      <c r="E32" s="19" t="inlineStr">
        <is>
          <t>при α &gt; 1 возрастает</t>
        </is>
      </c>
      <c r="F32" s="20" t="n"/>
      <c r="G32" s="20" t="n"/>
      <c r="H32" s="20" t="n"/>
    </row>
    <row r="33" ht="17.5" customHeight="1">
      <c r="B33" s="16" t="inlineStr">
        <is>
          <t>f(t) = λ(t)·P(t)</t>
        </is>
      </c>
      <c r="C33" s="46">
        <f>$C$32*$C$30</f>
        <v/>
      </c>
      <c r="D33" s="18" t="inlineStr">
        <is>
          <t>1/ч</t>
        </is>
      </c>
      <c r="E33" s="19" t="inlineStr"/>
      <c r="F33" s="20" t="n"/>
      <c r="G33" s="20" t="n"/>
      <c r="H33" s="20" t="n"/>
    </row>
    <row r="34" ht="17.5" customHeight="1">
      <c r="B34" s="16" t="inlineStr">
        <is>
          <t>Γ(1 + 1/α)</t>
        </is>
      </c>
      <c r="C34" s="29">
        <f>EXP(GAMMALN(1+1/$C$26))</f>
        <v/>
      </c>
      <c r="D34" s="18" t="inlineStr"/>
      <c r="E34" s="19" t="inlineStr">
        <is>
          <t>Γ(x) = EXP(ГАММАНЛОГ(x))</t>
        </is>
      </c>
      <c r="F34" s="20" t="n"/>
      <c r="G34" s="20" t="n"/>
      <c r="H34" s="20" t="n"/>
    </row>
    <row r="35" ht="17.5" customHeight="1">
      <c r="B35" s="16" t="inlineStr">
        <is>
          <t>Γ(1 + 2/α)</t>
        </is>
      </c>
      <c r="C35" s="29">
        <f>EXP(GAMMALN(1+2/$C$26))</f>
        <v/>
      </c>
      <c r="D35" s="18" t="inlineStr"/>
      <c r="E35" s="19" t="inlineStr"/>
      <c r="F35" s="20" t="n"/>
      <c r="G35" s="20" t="n"/>
      <c r="H35" s="20" t="n"/>
    </row>
    <row r="36" ht="17.5" customHeight="1">
      <c r="B36" s="16" t="inlineStr">
        <is>
          <t>Средняя наработка Mt = Γ(1+1/α) / λ^(1/α)</t>
        </is>
      </c>
      <c r="C36" s="37">
        <f>$C$34/$C$27^(1/$C$26)</f>
        <v/>
      </c>
      <c r="D36" s="18" t="inlineStr">
        <is>
          <t>ч</t>
        </is>
      </c>
      <c r="E36" s="19" t="inlineStr"/>
      <c r="F36" s="20" t="n"/>
      <c r="G36" s="20" t="n"/>
      <c r="H36" s="20" t="n"/>
    </row>
    <row r="37" ht="17.5" customHeight="1">
      <c r="B37" s="16" t="inlineStr">
        <is>
          <t>СКО σt = √[(Γ(1+2/α) − Γ²(1+1/α)) / λ^(2/α)]</t>
        </is>
      </c>
      <c r="C37" s="37">
        <f>SQRT(($C$35-$C$34^2)/$C$27^(2/$C$26))</f>
        <v/>
      </c>
      <c r="D37" s="18" t="inlineStr">
        <is>
          <t>ч</t>
        </is>
      </c>
      <c r="E37" s="19" t="inlineStr"/>
      <c r="F37" s="20" t="n"/>
      <c r="G37" s="20" t="n"/>
      <c r="H37" s="20" t="n"/>
    </row>
    <row r="38" ht="17.5" customHeight="1">
      <c r="B38" s="16" t="inlineStr">
        <is>
          <t>Коэффициент вариации v = σt/Mt</t>
        </is>
      </c>
      <c r="C38" s="29">
        <f>$C$37/$C$36</f>
        <v/>
      </c>
      <c r="D38" s="18" t="inlineStr"/>
      <c r="E38" s="19" t="inlineStr"/>
      <c r="F38" s="20" t="n"/>
      <c r="G38" s="20" t="n"/>
      <c r="H38" s="20" t="n"/>
    </row>
    <row r="39" ht="17.5" customHeight="1">
      <c r="A39" s="14" t="inlineStr">
        <is>
          <t>Ответ</t>
        </is>
      </c>
      <c r="B39" s="25" t="inlineStr">
        <is>
          <t>Ответ: P(150 ч)</t>
        </is>
      </c>
      <c r="C39" s="48">
        <f>$C$30</f>
        <v/>
      </c>
      <c r="D39" s="18" t="inlineStr"/>
      <c r="E39" s="19" t="inlineStr"/>
      <c r="F39" s="20" t="n"/>
      <c r="G39" s="20" t="n"/>
      <c r="H39" s="20" t="n"/>
    </row>
    <row r="40" ht="17.5" customHeight="1">
      <c r="B40" s="25" t="inlineStr">
        <is>
          <t>Ответ: Q(150 ч)</t>
        </is>
      </c>
      <c r="C40" s="48">
        <f>$C$31</f>
        <v/>
      </c>
      <c r="D40" s="18" t="inlineStr"/>
      <c r="E40" s="19" t="inlineStr"/>
      <c r="F40" s="20" t="n"/>
      <c r="G40" s="20" t="n"/>
      <c r="H40" s="20" t="n"/>
    </row>
    <row r="41" ht="17.5" customHeight="1">
      <c r="B41" s="25" t="inlineStr">
        <is>
          <t>Ответ: f(150 ч)</t>
        </is>
      </c>
      <c r="C41" s="44">
        <f>$C$33</f>
        <v/>
      </c>
      <c r="D41" s="18" t="inlineStr">
        <is>
          <t>1/ч</t>
        </is>
      </c>
      <c r="E41" s="19" t="inlineStr"/>
      <c r="F41" s="20" t="n"/>
      <c r="G41" s="20" t="n"/>
      <c r="H41" s="20" t="n"/>
    </row>
    <row r="42" ht="17.5" customHeight="1">
      <c r="B42" s="25" t="inlineStr">
        <is>
          <t>Ответ: λ(150 ч)</t>
        </is>
      </c>
      <c r="C42" s="44">
        <f>$C$32</f>
        <v/>
      </c>
      <c r="D42" s="18" t="inlineStr">
        <is>
          <t>1/ч</t>
        </is>
      </c>
      <c r="E42" s="19" t="inlineStr"/>
      <c r="F42" s="20" t="n"/>
      <c r="G42" s="20" t="n"/>
      <c r="H42" s="20" t="n"/>
    </row>
    <row r="43" ht="17.5" customHeight="1">
      <c r="B43" s="25" t="inlineStr">
        <is>
          <t>Ответ: средняя наработка Mt</t>
        </is>
      </c>
      <c r="C43" s="26">
        <f>$C$36</f>
        <v/>
      </c>
      <c r="D43" s="18" t="inlineStr">
        <is>
          <t>ч</t>
        </is>
      </c>
      <c r="E43" s="19" t="inlineStr"/>
      <c r="F43" s="20" t="n"/>
      <c r="G43" s="20" t="n"/>
      <c r="H43" s="20" t="n"/>
    </row>
    <row r="44" ht="17.5" customHeight="1">
      <c r="B44" s="25" t="inlineStr">
        <is>
          <t>Ответ: СКО σt</t>
        </is>
      </c>
      <c r="C44" s="26">
        <f>$C$37</f>
        <v/>
      </c>
      <c r="D44" s="18" t="inlineStr">
        <is>
          <t>ч</t>
        </is>
      </c>
      <c r="E44" s="19" t="inlineStr"/>
      <c r="F44" s="20" t="n"/>
      <c r="G44" s="20" t="n"/>
      <c r="H44" s="20" t="n"/>
    </row>
    <row r="45" ht="17.5" customHeight="1">
      <c r="B45" s="25" t="inlineStr">
        <is>
          <t>Ответ: коэффициент вариации v</t>
        </is>
      </c>
      <c r="C45" s="31">
        <f>$C$38</f>
        <v/>
      </c>
      <c r="D45" s="18" t="inlineStr"/>
      <c r="E45" s="19" t="inlineStr"/>
      <c r="F45" s="20" t="n"/>
      <c r="G45" s="20" t="n"/>
      <c r="H45" s="20" t="n"/>
    </row>
  </sheetData>
  <mergeCells count="44">
    <mergeCell ref="E45:H45"/>
    <mergeCell ref="E26:H26"/>
    <mergeCell ref="A24:H24"/>
    <mergeCell ref="E16:H16"/>
    <mergeCell ref="E7:H7"/>
    <mergeCell ref="A1:H1"/>
    <mergeCell ref="E41:H41"/>
    <mergeCell ref="E32:H32"/>
    <mergeCell ref="E37:H37"/>
    <mergeCell ref="E22:H22"/>
    <mergeCell ref="E18:H18"/>
    <mergeCell ref="E3:H3"/>
    <mergeCell ref="E43:H43"/>
    <mergeCell ref="E12:H12"/>
    <mergeCell ref="E21:H21"/>
    <mergeCell ref="B25:H25"/>
    <mergeCell ref="E33:H33"/>
    <mergeCell ref="E5:H5"/>
    <mergeCell ref="E42:H42"/>
    <mergeCell ref="E14:H14"/>
    <mergeCell ref="E17:H17"/>
    <mergeCell ref="E39:H39"/>
    <mergeCell ref="E8:H8"/>
    <mergeCell ref="E35:H35"/>
    <mergeCell ref="E4:H4"/>
    <mergeCell ref="E20:H20"/>
    <mergeCell ref="E38:H38"/>
    <mergeCell ref="E44:H44"/>
    <mergeCell ref="B2:H2"/>
    <mergeCell ref="E29:H29"/>
    <mergeCell ref="E19:H19"/>
    <mergeCell ref="E10:H10"/>
    <mergeCell ref="E28:H28"/>
    <mergeCell ref="E13:H13"/>
    <mergeCell ref="E40:H40"/>
    <mergeCell ref="E9:H9"/>
    <mergeCell ref="E31:H31"/>
    <mergeCell ref="E34:H34"/>
    <mergeCell ref="E6:H6"/>
    <mergeCell ref="E30:H30"/>
    <mergeCell ref="E15:H15"/>
    <mergeCell ref="E11:H11"/>
    <mergeCell ref="E27:H27"/>
    <mergeCell ref="E36:H36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1" t="inlineStr">
        <is>
          <t>Графики показателей надёжности (данные считаются по параметрам задач 4.4, 4.11 и 4.13)</t>
        </is>
      </c>
    </row>
    <row r="3" ht="32" customHeight="1">
      <c r="A3" s="21" t="inlineStr">
        <is>
          <t>t, ч (4.4)</t>
        </is>
      </c>
      <c r="B3" s="21" t="inlineStr">
        <is>
          <t>P(t), нормальный</t>
        </is>
      </c>
      <c r="C3" s="21" t="inlineStr">
        <is>
          <t>Q(t), нормальный</t>
        </is>
      </c>
      <c r="E3" s="21" t="inlineStr">
        <is>
          <t>t, ч (4.11/4.13)</t>
        </is>
      </c>
      <c r="F3" s="21" t="inlineStr">
        <is>
          <t>P(t) Вейбулла α=1,5</t>
        </is>
      </c>
      <c r="G3" s="21" t="inlineStr">
        <is>
          <t>P(t) экспонента</t>
        </is>
      </c>
      <c r="H3" s="21" t="inlineStr">
        <is>
          <t>λ(t) Вейбулла</t>
        </is>
      </c>
      <c r="I3" s="21" t="inlineStr">
        <is>
          <t>λ(t) экспонента</t>
        </is>
      </c>
    </row>
    <row r="4">
      <c r="A4" s="52" t="n">
        <v>0</v>
      </c>
      <c r="B4" s="23">
        <f>1-NORMDIST(A4,'Нормальный закон'!$C$41,'Нормальный закон'!$C$43,TRUE)</f>
        <v/>
      </c>
      <c r="C4" s="23">
        <f>NORMDIST(A4,'Нормальный закон'!$C$41,'Нормальный закон'!$C$43,TRUE)</f>
        <v/>
      </c>
      <c r="E4" s="52" t="n">
        <v>0</v>
      </c>
      <c r="F4" s="23">
        <f>EXP(-'Закон Вейбулла'!$C$4*E4^'Закон Вейбулла'!$C$3)</f>
        <v/>
      </c>
      <c r="G4" s="23">
        <f>EXP(-'Экспоненциальный закон'!$C$34*E4)</f>
        <v/>
      </c>
      <c r="H4" s="36">
        <f>'Закон Вейбулла'!$C$4*'Закон Вейбулла'!$C$3*E4^('Закон Вейбулла'!$C$3-1)</f>
        <v/>
      </c>
      <c r="I4" s="36">
        <f>'Экспоненциальный закон'!$C$34</f>
        <v/>
      </c>
    </row>
    <row r="5">
      <c r="A5" s="52" t="n">
        <v>150</v>
      </c>
      <c r="B5" s="23">
        <f>1-NORMDIST(A5,'Нормальный закон'!$C$41,'Нормальный закон'!$C$43,TRUE)</f>
        <v/>
      </c>
      <c r="C5" s="23">
        <f>NORMDIST(A5,'Нормальный закон'!$C$41,'Нормальный закон'!$C$43,TRUE)</f>
        <v/>
      </c>
      <c r="E5" s="52" t="n">
        <v>50</v>
      </c>
      <c r="F5" s="23">
        <f>EXP(-'Закон Вейбулла'!$C$4*E5^'Закон Вейбулла'!$C$3)</f>
        <v/>
      </c>
      <c r="G5" s="23">
        <f>EXP(-'Экспоненциальный закон'!$C$34*E5)</f>
        <v/>
      </c>
      <c r="H5" s="36">
        <f>'Закон Вейбулла'!$C$4*'Закон Вейбулла'!$C$3*E5^('Закон Вейбулла'!$C$3-1)</f>
        <v/>
      </c>
      <c r="I5" s="36">
        <f>'Экспоненциальный закон'!$C$34</f>
        <v/>
      </c>
    </row>
    <row r="6">
      <c r="A6" s="52" t="n">
        <v>300</v>
      </c>
      <c r="B6" s="23">
        <f>1-NORMDIST(A6,'Нормальный закон'!$C$41,'Нормальный закон'!$C$43,TRUE)</f>
        <v/>
      </c>
      <c r="C6" s="23">
        <f>NORMDIST(A6,'Нормальный закон'!$C$41,'Нормальный закон'!$C$43,TRUE)</f>
        <v/>
      </c>
      <c r="E6" s="52" t="n">
        <v>100</v>
      </c>
      <c r="F6" s="23">
        <f>EXP(-'Закон Вейбулла'!$C$4*E6^'Закон Вейбулла'!$C$3)</f>
        <v/>
      </c>
      <c r="G6" s="23">
        <f>EXP(-'Экспоненциальный закон'!$C$34*E6)</f>
        <v/>
      </c>
      <c r="H6" s="36">
        <f>'Закон Вейбулла'!$C$4*'Закон Вейбулла'!$C$3*E6^('Закон Вейбулла'!$C$3-1)</f>
        <v/>
      </c>
      <c r="I6" s="36">
        <f>'Экспоненциальный закон'!$C$34</f>
        <v/>
      </c>
    </row>
    <row r="7">
      <c r="A7" s="52" t="n">
        <v>450</v>
      </c>
      <c r="B7" s="23">
        <f>1-NORMDIST(A7,'Нормальный закон'!$C$41,'Нормальный закон'!$C$43,TRUE)</f>
        <v/>
      </c>
      <c r="C7" s="23">
        <f>NORMDIST(A7,'Нормальный закон'!$C$41,'Нормальный закон'!$C$43,TRUE)</f>
        <v/>
      </c>
      <c r="E7" s="52" t="n">
        <v>150</v>
      </c>
      <c r="F7" s="23">
        <f>EXP(-'Закон Вейбулла'!$C$4*E7^'Закон Вейбулла'!$C$3)</f>
        <v/>
      </c>
      <c r="G7" s="23">
        <f>EXP(-'Экспоненциальный закон'!$C$34*E7)</f>
        <v/>
      </c>
      <c r="H7" s="36">
        <f>'Закон Вейбулла'!$C$4*'Закон Вейбулла'!$C$3*E7^('Закон Вейбулла'!$C$3-1)</f>
        <v/>
      </c>
      <c r="I7" s="36">
        <f>'Экспоненциальный закон'!$C$34</f>
        <v/>
      </c>
    </row>
    <row r="8">
      <c r="A8" s="52" t="n">
        <v>600</v>
      </c>
      <c r="B8" s="23">
        <f>1-NORMDIST(A8,'Нормальный закон'!$C$41,'Нормальный закон'!$C$43,TRUE)</f>
        <v/>
      </c>
      <c r="C8" s="23">
        <f>NORMDIST(A8,'Нормальный закон'!$C$41,'Нормальный закон'!$C$43,TRUE)</f>
        <v/>
      </c>
      <c r="E8" s="52" t="n">
        <v>200</v>
      </c>
      <c r="F8" s="23">
        <f>EXP(-'Закон Вейбулла'!$C$4*E8^'Закон Вейбулла'!$C$3)</f>
        <v/>
      </c>
      <c r="G8" s="23">
        <f>EXP(-'Экспоненциальный закон'!$C$34*E8)</f>
        <v/>
      </c>
      <c r="H8" s="36">
        <f>'Закон Вейбулла'!$C$4*'Закон Вейбулла'!$C$3*E8^('Закон Вейбулла'!$C$3-1)</f>
        <v/>
      </c>
      <c r="I8" s="36">
        <f>'Экспоненциальный закон'!$C$34</f>
        <v/>
      </c>
    </row>
    <row r="9">
      <c r="A9" s="52" t="n">
        <v>750</v>
      </c>
      <c r="B9" s="23">
        <f>1-NORMDIST(A9,'Нормальный закон'!$C$41,'Нормальный закон'!$C$43,TRUE)</f>
        <v/>
      </c>
      <c r="C9" s="23">
        <f>NORMDIST(A9,'Нормальный закон'!$C$41,'Нормальный закон'!$C$43,TRUE)</f>
        <v/>
      </c>
      <c r="E9" s="52" t="n">
        <v>250</v>
      </c>
      <c r="F9" s="23">
        <f>EXP(-'Закон Вейбулла'!$C$4*E9^'Закон Вейбулла'!$C$3)</f>
        <v/>
      </c>
      <c r="G9" s="23">
        <f>EXP(-'Экспоненциальный закон'!$C$34*E9)</f>
        <v/>
      </c>
      <c r="H9" s="36">
        <f>'Закон Вейбулла'!$C$4*'Закон Вейбулла'!$C$3*E9^('Закон Вейбулла'!$C$3-1)</f>
        <v/>
      </c>
      <c r="I9" s="36">
        <f>'Экспоненциальный закон'!$C$34</f>
        <v/>
      </c>
    </row>
    <row r="10">
      <c r="A10" s="52" t="n">
        <v>900</v>
      </c>
      <c r="B10" s="23">
        <f>1-NORMDIST(A10,'Нормальный закон'!$C$41,'Нормальный закон'!$C$43,TRUE)</f>
        <v/>
      </c>
      <c r="C10" s="23">
        <f>NORMDIST(A10,'Нормальный закон'!$C$41,'Нормальный закон'!$C$43,TRUE)</f>
        <v/>
      </c>
      <c r="E10" s="52" t="n">
        <v>300</v>
      </c>
      <c r="F10" s="23">
        <f>EXP(-'Закон Вейбулла'!$C$4*E10^'Закон Вейбулла'!$C$3)</f>
        <v/>
      </c>
      <c r="G10" s="23">
        <f>EXP(-'Экспоненциальный закон'!$C$34*E10)</f>
        <v/>
      </c>
      <c r="H10" s="36">
        <f>'Закон Вейбулла'!$C$4*'Закон Вейбулла'!$C$3*E10^('Закон Вейбулла'!$C$3-1)</f>
        <v/>
      </c>
      <c r="I10" s="36">
        <f>'Экспоненциальный закон'!$C$34</f>
        <v/>
      </c>
    </row>
    <row r="11">
      <c r="A11" s="52" t="n">
        <v>1050</v>
      </c>
      <c r="B11" s="23">
        <f>1-NORMDIST(A11,'Нормальный закон'!$C$41,'Нормальный закон'!$C$43,TRUE)</f>
        <v/>
      </c>
      <c r="C11" s="23">
        <f>NORMDIST(A11,'Нормальный закон'!$C$41,'Нормальный закон'!$C$43,TRUE)</f>
        <v/>
      </c>
      <c r="E11" s="52" t="n">
        <v>350</v>
      </c>
      <c r="F11" s="23">
        <f>EXP(-'Закон Вейбулла'!$C$4*E11^'Закон Вейбулла'!$C$3)</f>
        <v/>
      </c>
      <c r="G11" s="23">
        <f>EXP(-'Экспоненциальный закон'!$C$34*E11)</f>
        <v/>
      </c>
      <c r="H11" s="36">
        <f>'Закон Вейбулла'!$C$4*'Закон Вейбулла'!$C$3*E11^('Закон Вейбулла'!$C$3-1)</f>
        <v/>
      </c>
      <c r="I11" s="36">
        <f>'Экспоненциальный закон'!$C$34</f>
        <v/>
      </c>
    </row>
    <row r="12">
      <c r="A12" s="52" t="n">
        <v>1200</v>
      </c>
      <c r="B12" s="23">
        <f>1-NORMDIST(A12,'Нормальный закон'!$C$41,'Нормальный закон'!$C$43,TRUE)</f>
        <v/>
      </c>
      <c r="C12" s="23">
        <f>NORMDIST(A12,'Нормальный закон'!$C$41,'Нормальный закон'!$C$43,TRUE)</f>
        <v/>
      </c>
      <c r="E12" s="52" t="n">
        <v>400</v>
      </c>
      <c r="F12" s="23">
        <f>EXP(-'Закон Вейбулла'!$C$4*E12^'Закон Вейбулла'!$C$3)</f>
        <v/>
      </c>
      <c r="G12" s="23">
        <f>EXP(-'Экспоненциальный закон'!$C$34*E12)</f>
        <v/>
      </c>
      <c r="H12" s="36">
        <f>'Закон Вейбулла'!$C$4*'Закон Вейбулла'!$C$3*E12^('Закон Вейбулла'!$C$3-1)</f>
        <v/>
      </c>
      <c r="I12" s="36">
        <f>'Экспоненциальный закон'!$C$34</f>
        <v/>
      </c>
    </row>
    <row r="13">
      <c r="A13" s="52" t="n">
        <v>1350</v>
      </c>
      <c r="B13" s="23">
        <f>1-NORMDIST(A13,'Нормальный закон'!$C$41,'Нормальный закон'!$C$43,TRUE)</f>
        <v/>
      </c>
      <c r="C13" s="23">
        <f>NORMDIST(A13,'Нормальный закон'!$C$41,'Нормальный закон'!$C$43,TRUE)</f>
        <v/>
      </c>
      <c r="E13" s="52" t="n">
        <v>450</v>
      </c>
      <c r="F13" s="23">
        <f>EXP(-'Закон Вейбулла'!$C$4*E13^'Закон Вейбулла'!$C$3)</f>
        <v/>
      </c>
      <c r="G13" s="23">
        <f>EXP(-'Экспоненциальный закон'!$C$34*E13)</f>
        <v/>
      </c>
      <c r="H13" s="36">
        <f>'Закон Вейбулла'!$C$4*'Закон Вейбулла'!$C$3*E13^('Закон Вейбулла'!$C$3-1)</f>
        <v/>
      </c>
      <c r="I13" s="36">
        <f>'Экспоненциальный закон'!$C$34</f>
        <v/>
      </c>
    </row>
    <row r="14">
      <c r="A14" s="52" t="n">
        <v>1500</v>
      </c>
      <c r="B14" s="23">
        <f>1-NORMDIST(A14,'Нормальный закон'!$C$41,'Нормальный закон'!$C$43,TRUE)</f>
        <v/>
      </c>
      <c r="C14" s="23">
        <f>NORMDIST(A14,'Нормальный закон'!$C$41,'Нормальный закон'!$C$43,TRUE)</f>
        <v/>
      </c>
      <c r="E14" s="52" t="n">
        <v>500</v>
      </c>
      <c r="F14" s="23">
        <f>EXP(-'Закон Вейбулла'!$C$4*E14^'Закон Вейбулла'!$C$3)</f>
        <v/>
      </c>
      <c r="G14" s="23">
        <f>EXP(-'Экспоненциальный закон'!$C$34*E14)</f>
        <v/>
      </c>
      <c r="H14" s="36">
        <f>'Закон Вейбулла'!$C$4*'Закон Вейбулла'!$C$3*E14^('Закон Вейбулла'!$C$3-1)</f>
        <v/>
      </c>
      <c r="I14" s="36">
        <f>'Экспоненциальный закон'!$C$34</f>
        <v/>
      </c>
    </row>
    <row r="15">
      <c r="A15" s="52" t="n">
        <v>1650</v>
      </c>
      <c r="B15" s="23">
        <f>1-NORMDIST(A15,'Нормальный закон'!$C$41,'Нормальный закон'!$C$43,TRUE)</f>
        <v/>
      </c>
      <c r="C15" s="23">
        <f>NORMDIST(A15,'Нормальный закон'!$C$41,'Нормальный закон'!$C$43,TRUE)</f>
        <v/>
      </c>
      <c r="E15" s="52" t="n">
        <v>550</v>
      </c>
      <c r="F15" s="23">
        <f>EXP(-'Закон Вейбулла'!$C$4*E15^'Закон Вейбулла'!$C$3)</f>
        <v/>
      </c>
      <c r="G15" s="23">
        <f>EXP(-'Экспоненциальный закон'!$C$34*E15)</f>
        <v/>
      </c>
      <c r="H15" s="36">
        <f>'Закон Вейбулла'!$C$4*'Закон Вейбулла'!$C$3*E15^('Закон Вейбулла'!$C$3-1)</f>
        <v/>
      </c>
      <c r="I15" s="36">
        <f>'Экспоненциальный закон'!$C$34</f>
        <v/>
      </c>
    </row>
    <row r="16">
      <c r="A16" s="52" t="n">
        <v>1800</v>
      </c>
      <c r="B16" s="23">
        <f>1-NORMDIST(A16,'Нормальный закон'!$C$41,'Нормальный закон'!$C$43,TRUE)</f>
        <v/>
      </c>
      <c r="C16" s="23">
        <f>NORMDIST(A16,'Нормальный закон'!$C$41,'Нормальный закон'!$C$43,TRUE)</f>
        <v/>
      </c>
      <c r="E16" s="52" t="n">
        <v>600</v>
      </c>
      <c r="F16" s="23">
        <f>EXP(-'Закон Вейбулла'!$C$4*E16^'Закон Вейбулла'!$C$3)</f>
        <v/>
      </c>
      <c r="G16" s="23">
        <f>EXP(-'Экспоненциальный закон'!$C$34*E16)</f>
        <v/>
      </c>
      <c r="H16" s="36">
        <f>'Закон Вейбулла'!$C$4*'Закон Вейбулла'!$C$3*E16^('Закон Вейбулла'!$C$3-1)</f>
        <v/>
      </c>
      <c r="I16" s="36">
        <f>'Экспоненциальный закон'!$C$34</f>
        <v/>
      </c>
    </row>
    <row r="17">
      <c r="A17" s="52" t="n">
        <v>1950</v>
      </c>
      <c r="B17" s="23">
        <f>1-NORMDIST(A17,'Нормальный закон'!$C$41,'Нормальный закон'!$C$43,TRUE)</f>
        <v/>
      </c>
      <c r="C17" s="23">
        <f>NORMDIST(A17,'Нормальный закон'!$C$41,'Нормальный закон'!$C$43,TRUE)</f>
        <v/>
      </c>
      <c r="E17" s="52" t="n">
        <v>650</v>
      </c>
      <c r="F17" s="23">
        <f>EXP(-'Закон Вейбулла'!$C$4*E17^'Закон Вейбулла'!$C$3)</f>
        <v/>
      </c>
      <c r="G17" s="23">
        <f>EXP(-'Экспоненциальный закон'!$C$34*E17)</f>
        <v/>
      </c>
      <c r="H17" s="36">
        <f>'Закон Вейбулла'!$C$4*'Закон Вейбулла'!$C$3*E17^('Закон Вейбулла'!$C$3-1)</f>
        <v/>
      </c>
      <c r="I17" s="36">
        <f>'Экспоненциальный закон'!$C$34</f>
        <v/>
      </c>
    </row>
    <row r="18">
      <c r="A18" s="52" t="n">
        <v>2100</v>
      </c>
      <c r="B18" s="23">
        <f>1-NORMDIST(A18,'Нормальный закон'!$C$41,'Нормальный закон'!$C$43,TRUE)</f>
        <v/>
      </c>
      <c r="C18" s="23">
        <f>NORMDIST(A18,'Нормальный закон'!$C$41,'Нормальный закон'!$C$43,TRUE)</f>
        <v/>
      </c>
      <c r="E18" s="52" t="n">
        <v>700</v>
      </c>
      <c r="F18" s="23">
        <f>EXP(-'Закон Вейбулла'!$C$4*E18^'Закон Вейбулла'!$C$3)</f>
        <v/>
      </c>
      <c r="G18" s="23">
        <f>EXP(-'Экспоненциальный закон'!$C$34*E18)</f>
        <v/>
      </c>
      <c r="H18" s="36">
        <f>'Закон Вейбулла'!$C$4*'Закон Вейбулла'!$C$3*E18^('Закон Вейбулла'!$C$3-1)</f>
        <v/>
      </c>
      <c r="I18" s="36">
        <f>'Экспоненциальный закон'!$C$34</f>
        <v/>
      </c>
    </row>
    <row r="19">
      <c r="A19" s="52" t="n">
        <v>2250</v>
      </c>
      <c r="B19" s="23">
        <f>1-NORMDIST(A19,'Нормальный закон'!$C$41,'Нормальный закон'!$C$43,TRUE)</f>
        <v/>
      </c>
      <c r="C19" s="23">
        <f>NORMDIST(A19,'Нормальный закон'!$C$41,'Нормальный закон'!$C$43,TRUE)</f>
        <v/>
      </c>
      <c r="E19" s="52" t="n">
        <v>750</v>
      </c>
      <c r="F19" s="23">
        <f>EXP(-'Закон Вейбулла'!$C$4*E19^'Закон Вейбулла'!$C$3)</f>
        <v/>
      </c>
      <c r="G19" s="23">
        <f>EXP(-'Экспоненциальный закон'!$C$34*E19)</f>
        <v/>
      </c>
      <c r="H19" s="36">
        <f>'Закон Вейбулла'!$C$4*'Закон Вейбулла'!$C$3*E19^('Закон Вейбулла'!$C$3-1)</f>
        <v/>
      </c>
      <c r="I19" s="36">
        <f>'Экспоненциальный закон'!$C$34</f>
        <v/>
      </c>
    </row>
    <row r="20">
      <c r="A20" s="52" t="n">
        <v>2400</v>
      </c>
      <c r="B20" s="23">
        <f>1-NORMDIST(A20,'Нормальный закон'!$C$41,'Нормальный закон'!$C$43,TRUE)</f>
        <v/>
      </c>
      <c r="C20" s="23">
        <f>NORMDIST(A20,'Нормальный закон'!$C$41,'Нормальный закон'!$C$43,TRUE)</f>
        <v/>
      </c>
      <c r="E20" s="52" t="n">
        <v>800</v>
      </c>
      <c r="F20" s="23">
        <f>EXP(-'Закон Вейбулла'!$C$4*E20^'Закон Вейбулла'!$C$3)</f>
        <v/>
      </c>
      <c r="G20" s="23">
        <f>EXP(-'Экспоненциальный закон'!$C$34*E20)</f>
        <v/>
      </c>
      <c r="H20" s="36">
        <f>'Закон Вейбулла'!$C$4*'Закон Вейбулла'!$C$3*E20^('Закон Вейбулла'!$C$3-1)</f>
        <v/>
      </c>
      <c r="I20" s="36">
        <f>'Экспоненциальный закон'!$C$34</f>
        <v/>
      </c>
    </row>
    <row r="21">
      <c r="A21" s="52" t="n">
        <v>2550</v>
      </c>
      <c r="B21" s="23">
        <f>1-NORMDIST(A21,'Нормальный закон'!$C$41,'Нормальный закон'!$C$43,TRUE)</f>
        <v/>
      </c>
      <c r="C21" s="23">
        <f>NORMDIST(A21,'Нормальный закон'!$C$41,'Нормальный закон'!$C$43,TRUE)</f>
        <v/>
      </c>
      <c r="E21" s="52" t="n">
        <v>850</v>
      </c>
      <c r="F21" s="23">
        <f>EXP(-'Закон Вейбулла'!$C$4*E21^'Закон Вейбулла'!$C$3)</f>
        <v/>
      </c>
      <c r="G21" s="23">
        <f>EXP(-'Экспоненциальный закон'!$C$34*E21)</f>
        <v/>
      </c>
      <c r="H21" s="36">
        <f>'Закон Вейбулла'!$C$4*'Закон Вейбулла'!$C$3*E21^('Закон Вейбулла'!$C$3-1)</f>
        <v/>
      </c>
      <c r="I21" s="36">
        <f>'Экспоненциальный закон'!$C$34</f>
        <v/>
      </c>
    </row>
    <row r="22">
      <c r="A22" s="52" t="n">
        <v>2700</v>
      </c>
      <c r="B22" s="23">
        <f>1-NORMDIST(A22,'Нормальный закон'!$C$41,'Нормальный закон'!$C$43,TRUE)</f>
        <v/>
      </c>
      <c r="C22" s="23">
        <f>NORMDIST(A22,'Нормальный закон'!$C$41,'Нормальный закон'!$C$43,TRUE)</f>
        <v/>
      </c>
      <c r="E22" s="52" t="n">
        <v>900</v>
      </c>
      <c r="F22" s="23">
        <f>EXP(-'Закон Вейбулла'!$C$4*E22^'Закон Вейбулла'!$C$3)</f>
        <v/>
      </c>
      <c r="G22" s="23">
        <f>EXP(-'Экспоненциальный закон'!$C$34*E22)</f>
        <v/>
      </c>
      <c r="H22" s="36">
        <f>'Закон Вейбулла'!$C$4*'Закон Вейбулла'!$C$3*E22^('Закон Вейбулла'!$C$3-1)</f>
        <v/>
      </c>
      <c r="I22" s="36">
        <f>'Экспоненциальный закон'!$C$34</f>
        <v/>
      </c>
    </row>
    <row r="23">
      <c r="A23" s="52" t="n">
        <v>2850</v>
      </c>
      <c r="B23" s="23">
        <f>1-NORMDIST(A23,'Нормальный закон'!$C$41,'Нормальный закон'!$C$43,TRUE)</f>
        <v/>
      </c>
      <c r="C23" s="23">
        <f>NORMDIST(A23,'Нормальный закон'!$C$41,'Нормальный закон'!$C$43,TRUE)</f>
        <v/>
      </c>
      <c r="E23" s="52" t="n">
        <v>950</v>
      </c>
      <c r="F23" s="23">
        <f>EXP(-'Закон Вейбулла'!$C$4*E23^'Закон Вейбулла'!$C$3)</f>
        <v/>
      </c>
      <c r="G23" s="23">
        <f>EXP(-'Экспоненциальный закон'!$C$34*E23)</f>
        <v/>
      </c>
      <c r="H23" s="36">
        <f>'Закон Вейбулла'!$C$4*'Закон Вейбулла'!$C$3*E23^('Закон Вейбулла'!$C$3-1)</f>
        <v/>
      </c>
      <c r="I23" s="36">
        <f>'Экспоненциальный закон'!$C$34</f>
        <v/>
      </c>
    </row>
    <row r="24">
      <c r="A24" s="52" t="n">
        <v>3000</v>
      </c>
      <c r="B24" s="23">
        <f>1-NORMDIST(A24,'Нормальный закон'!$C$41,'Нормальный закон'!$C$43,TRUE)</f>
        <v/>
      </c>
      <c r="C24" s="23">
        <f>NORMDIST(A24,'Нормальный закон'!$C$41,'Нормальный закон'!$C$43,TRUE)</f>
        <v/>
      </c>
      <c r="E24" s="52" t="n">
        <v>1000</v>
      </c>
      <c r="F24" s="23">
        <f>EXP(-'Закон Вейбулла'!$C$4*E24^'Закон Вейбулла'!$C$3)</f>
        <v/>
      </c>
      <c r="G24" s="23">
        <f>EXP(-'Экспоненциальный закон'!$C$34*E24)</f>
        <v/>
      </c>
      <c r="H24" s="36">
        <f>'Закон Вейбулла'!$C$4*'Закон Вейбулла'!$C$3*E24^('Закон Вейбулла'!$C$3-1)</f>
        <v/>
      </c>
      <c r="I24" s="36">
        <f>'Экспоненциальный закон'!$C$34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52" customWidth="1" min="3" max="3"/>
    <col width="18" customWidth="1" min="4" max="4"/>
    <col width="10" customWidth="1" min="5" max="5"/>
  </cols>
  <sheetData>
    <row r="1">
      <c r="A1" s="53" t="inlineStr">
        <is>
          <t>Сводка ответов по задачам 4.1–4.15</t>
        </is>
      </c>
    </row>
    <row r="3">
      <c r="A3" s="54" t="inlineStr">
        <is>
          <t>Задача</t>
        </is>
      </c>
      <c r="B3" s="54" t="inlineStr">
        <is>
          <t>Закон</t>
        </is>
      </c>
      <c r="C3" s="54" t="inlineStr">
        <is>
          <t>Искомая величина</t>
        </is>
      </c>
      <c r="D3" s="54" t="inlineStr">
        <is>
          <t>Результат</t>
        </is>
      </c>
      <c r="E3" s="54" t="inlineStr">
        <is>
          <t>Ед.</t>
        </is>
      </c>
    </row>
    <row r="4">
      <c r="A4" s="55" t="inlineStr">
        <is>
          <t>4.1</t>
        </is>
      </c>
      <c r="B4" s="55" t="inlineStr">
        <is>
          <t>Нормальный</t>
        </is>
      </c>
      <c r="C4" s="56" t="inlineStr">
        <is>
          <t>t при Q = 0,9</t>
        </is>
      </c>
      <c r="D4" s="57">
        <f>'Нормальный закон'!C10</f>
        <v/>
      </c>
      <c r="E4" s="55" t="inlineStr">
        <is>
          <t>ч</t>
        </is>
      </c>
    </row>
    <row r="5">
      <c r="A5" s="58" t="inlineStr">
        <is>
          <t>4.1</t>
        </is>
      </c>
      <c r="B5" s="58" t="inlineStr">
        <is>
          <t>Нормальный</t>
        </is>
      </c>
      <c r="C5" s="59" t="inlineStr">
        <is>
          <t>t при Q = 0,5</t>
        </is>
      </c>
      <c r="D5" s="60">
        <f>'Нормальный закон'!C11</f>
        <v/>
      </c>
      <c r="E5" s="58" t="inlineStr">
        <is>
          <t>ч</t>
        </is>
      </c>
    </row>
    <row r="6">
      <c r="A6" s="55" t="inlineStr">
        <is>
          <t>4.1</t>
        </is>
      </c>
      <c r="B6" s="55" t="inlineStr">
        <is>
          <t>Нормальный</t>
        </is>
      </c>
      <c r="C6" s="56" t="inlineStr">
        <is>
          <t>t при Q = 0,005</t>
        </is>
      </c>
      <c r="D6" s="57">
        <f>'Нормальный закон'!C12</f>
        <v/>
      </c>
      <c r="E6" s="55" t="inlineStr">
        <is>
          <t>ч</t>
        </is>
      </c>
    </row>
    <row r="7">
      <c r="A7" s="58" t="inlineStr">
        <is>
          <t>4.2</t>
        </is>
      </c>
      <c r="B7" s="58" t="inlineStr">
        <is>
          <t>Нормальный</t>
        </is>
      </c>
      <c r="C7" s="59" t="inlineStr">
        <is>
          <t>средний ресурс Mt</t>
        </is>
      </c>
      <c r="D7" s="61">
        <f>'Нормальный закон'!C24</f>
        <v/>
      </c>
      <c r="E7" s="58" t="inlineStr">
        <is>
          <t>ч</t>
        </is>
      </c>
    </row>
    <row r="8">
      <c r="A8" s="55" t="inlineStr">
        <is>
          <t>4.2</t>
        </is>
      </c>
      <c r="B8" s="55" t="inlineStr">
        <is>
          <t>Нормальный</t>
        </is>
      </c>
      <c r="C8" s="56" t="inlineStr">
        <is>
          <t>вероятность отказа Q(5000 ч)</t>
        </is>
      </c>
      <c r="D8" s="62">
        <f>'Нормальный закон'!C25</f>
        <v/>
      </c>
      <c r="E8" s="55" t="inlineStr"/>
    </row>
    <row r="9">
      <c r="A9" s="58" t="inlineStr">
        <is>
          <t>4.2</t>
        </is>
      </c>
      <c r="B9" s="58" t="inlineStr">
        <is>
          <t>Нормальный</t>
        </is>
      </c>
      <c r="C9" s="59" t="inlineStr">
        <is>
          <t>вероятность безотказной работы P(5000 ч)</t>
        </is>
      </c>
      <c r="D9" s="63">
        <f>'Нормальный закон'!C26</f>
        <v/>
      </c>
      <c r="E9" s="58" t="inlineStr"/>
    </row>
    <row r="10">
      <c r="A10" s="55" t="inlineStr">
        <is>
          <t>4.3</t>
        </is>
      </c>
      <c r="B10" s="55" t="inlineStr">
        <is>
          <t>Нормальный</t>
        </is>
      </c>
      <c r="C10" s="56" t="inlineStr">
        <is>
          <t>вероятность P(M &lt; X ≤ 1,05·M)</t>
        </is>
      </c>
      <c r="D10" s="62">
        <f>'Нормальный закон'!C37</f>
        <v/>
      </c>
      <c r="E10" s="55" t="inlineStr"/>
    </row>
    <row r="11">
      <c r="A11" s="58" t="inlineStr">
        <is>
          <t>4.4</t>
        </is>
      </c>
      <c r="B11" s="58" t="inlineStr">
        <is>
          <t>Нормальный</t>
        </is>
      </c>
      <c r="C11" s="59" t="inlineStr">
        <is>
          <t>P(1000 ч)</t>
        </is>
      </c>
      <c r="D11" s="63">
        <f>'Нормальный закон'!E45</f>
        <v/>
      </c>
      <c r="E11" s="58" t="inlineStr"/>
    </row>
    <row r="12">
      <c r="A12" s="55" t="inlineStr">
        <is>
          <t>4.4</t>
        </is>
      </c>
      <c r="B12" s="55" t="inlineStr">
        <is>
          <t>Нормальный</t>
        </is>
      </c>
      <c r="C12" s="56" t="inlineStr">
        <is>
          <t>Q(1000 ч)</t>
        </is>
      </c>
      <c r="D12" s="62">
        <f>'Нормальный закон'!D45</f>
        <v/>
      </c>
      <c r="E12" s="55" t="inlineStr"/>
    </row>
    <row r="13">
      <c r="A13" s="58" t="inlineStr">
        <is>
          <t>4.4</t>
        </is>
      </c>
      <c r="B13" s="58" t="inlineStr">
        <is>
          <t>Нормальный</t>
        </is>
      </c>
      <c r="C13" s="59" t="inlineStr">
        <is>
          <t>λ(1000 ч)</t>
        </is>
      </c>
      <c r="D13" s="64">
        <f>'Нормальный закон'!G45</f>
        <v/>
      </c>
      <c r="E13" s="58" t="inlineStr">
        <is>
          <t>1/ч</t>
        </is>
      </c>
    </row>
    <row r="14">
      <c r="A14" s="55" t="inlineStr">
        <is>
          <t>4.4</t>
        </is>
      </c>
      <c r="B14" s="55" t="inlineStr">
        <is>
          <t>Нормальный</t>
        </is>
      </c>
      <c r="C14" s="56" t="inlineStr">
        <is>
          <t>P(2000 ч)</t>
        </is>
      </c>
      <c r="D14" s="62">
        <f>'Нормальный закон'!E46</f>
        <v/>
      </c>
      <c r="E14" s="55" t="inlineStr"/>
    </row>
    <row r="15">
      <c r="A15" s="58" t="inlineStr">
        <is>
          <t>4.4</t>
        </is>
      </c>
      <c r="B15" s="58" t="inlineStr">
        <is>
          <t>Нормальный</t>
        </is>
      </c>
      <c r="C15" s="59" t="inlineStr">
        <is>
          <t>Q(2000 ч)</t>
        </is>
      </c>
      <c r="D15" s="63">
        <f>'Нормальный закон'!D46</f>
        <v/>
      </c>
      <c r="E15" s="58" t="inlineStr"/>
    </row>
    <row r="16">
      <c r="A16" s="55" t="inlineStr">
        <is>
          <t>4.4</t>
        </is>
      </c>
      <c r="B16" s="55" t="inlineStr">
        <is>
          <t>Нормальный</t>
        </is>
      </c>
      <c r="C16" s="56" t="inlineStr">
        <is>
          <t>λ(2000 ч)</t>
        </is>
      </c>
      <c r="D16" s="65">
        <f>'Нормальный закон'!G46</f>
        <v/>
      </c>
      <c r="E16" s="55" t="inlineStr">
        <is>
          <t>1/ч</t>
        </is>
      </c>
    </row>
    <row r="17">
      <c r="A17" s="58" t="inlineStr">
        <is>
          <t>4.4</t>
        </is>
      </c>
      <c r="B17" s="58" t="inlineStr">
        <is>
          <t>Нормальный</t>
        </is>
      </c>
      <c r="C17" s="59" t="inlineStr">
        <is>
          <t>P(3000 ч)</t>
        </is>
      </c>
      <c r="D17" s="63">
        <f>'Нормальный закон'!E47</f>
        <v/>
      </c>
      <c r="E17" s="58" t="inlineStr"/>
    </row>
    <row r="18">
      <c r="A18" s="55" t="inlineStr">
        <is>
          <t>4.4</t>
        </is>
      </c>
      <c r="B18" s="55" t="inlineStr">
        <is>
          <t>Нормальный</t>
        </is>
      </c>
      <c r="C18" s="56" t="inlineStr">
        <is>
          <t>Q(3000 ч)</t>
        </is>
      </c>
      <c r="D18" s="62">
        <f>'Нормальный закон'!D47</f>
        <v/>
      </c>
      <c r="E18" s="55" t="inlineStr"/>
    </row>
    <row r="19">
      <c r="A19" s="58" t="inlineStr">
        <is>
          <t>4.4</t>
        </is>
      </c>
      <c r="B19" s="58" t="inlineStr">
        <is>
          <t>Нормальный</t>
        </is>
      </c>
      <c r="C19" s="59" t="inlineStr">
        <is>
          <t>λ(3000 ч)</t>
        </is>
      </c>
      <c r="D19" s="64">
        <f>'Нормальный закон'!G47</f>
        <v/>
      </c>
      <c r="E19" s="58" t="inlineStr">
        <is>
          <t>1/ч</t>
        </is>
      </c>
    </row>
    <row r="20">
      <c r="A20" s="55" t="inlineStr">
        <is>
          <t>4.5</t>
        </is>
      </c>
      <c r="B20" s="55" t="inlineStr">
        <is>
          <t>Нормальный</t>
        </is>
      </c>
      <c r="C20" s="56" t="inlineStr">
        <is>
          <t>P(1000 ч)</t>
        </is>
      </c>
      <c r="D20" s="62">
        <f>'Нормальный закон'!E59</f>
        <v/>
      </c>
      <c r="E20" s="55" t="inlineStr"/>
    </row>
    <row r="21">
      <c r="A21" s="58" t="inlineStr">
        <is>
          <t>4.5</t>
        </is>
      </c>
      <c r="B21" s="58" t="inlineStr">
        <is>
          <t>Нормальный</t>
        </is>
      </c>
      <c r="C21" s="59" t="inlineStr">
        <is>
          <t>Q(1000 ч)</t>
        </is>
      </c>
      <c r="D21" s="63">
        <f>'Нормальный закон'!D59</f>
        <v/>
      </c>
      <c r="E21" s="58" t="inlineStr"/>
    </row>
    <row r="22">
      <c r="A22" s="55" t="inlineStr">
        <is>
          <t>4.5</t>
        </is>
      </c>
      <c r="B22" s="55" t="inlineStr">
        <is>
          <t>Нормальный</t>
        </is>
      </c>
      <c r="C22" s="56" t="inlineStr">
        <is>
          <t>λ(1000 ч)</t>
        </is>
      </c>
      <c r="D22" s="65">
        <f>'Нормальный закон'!G59</f>
        <v/>
      </c>
      <c r="E22" s="55" t="inlineStr">
        <is>
          <t>1/ч</t>
        </is>
      </c>
    </row>
    <row r="23">
      <c r="A23" s="58" t="inlineStr">
        <is>
          <t>4.5</t>
        </is>
      </c>
      <c r="B23" s="58" t="inlineStr">
        <is>
          <t>Нормальный</t>
        </is>
      </c>
      <c r="C23" s="59" t="inlineStr">
        <is>
          <t>P(2000 ч)</t>
        </is>
      </c>
      <c r="D23" s="63">
        <f>'Нормальный закон'!E60</f>
        <v/>
      </c>
      <c r="E23" s="58" t="inlineStr"/>
    </row>
    <row r="24">
      <c r="A24" s="55" t="inlineStr">
        <is>
          <t>4.5</t>
        </is>
      </c>
      <c r="B24" s="55" t="inlineStr">
        <is>
          <t>Нормальный</t>
        </is>
      </c>
      <c r="C24" s="56" t="inlineStr">
        <is>
          <t>Q(2000 ч)</t>
        </is>
      </c>
      <c r="D24" s="62">
        <f>'Нормальный закон'!D60</f>
        <v/>
      </c>
      <c r="E24" s="55" t="inlineStr"/>
    </row>
    <row r="25">
      <c r="A25" s="58" t="inlineStr">
        <is>
          <t>4.5</t>
        </is>
      </c>
      <c r="B25" s="58" t="inlineStr">
        <is>
          <t>Нормальный</t>
        </is>
      </c>
      <c r="C25" s="59" t="inlineStr">
        <is>
          <t>λ(2000 ч)</t>
        </is>
      </c>
      <c r="D25" s="64">
        <f>'Нормальный закон'!G60</f>
        <v/>
      </c>
      <c r="E25" s="58" t="inlineStr">
        <is>
          <t>1/ч</t>
        </is>
      </c>
    </row>
    <row r="26">
      <c r="A26" s="55" t="inlineStr">
        <is>
          <t>4.5</t>
        </is>
      </c>
      <c r="B26" s="55" t="inlineStr">
        <is>
          <t>Нормальный</t>
        </is>
      </c>
      <c r="C26" s="56" t="inlineStr">
        <is>
          <t>P(3000 ч)</t>
        </is>
      </c>
      <c r="D26" s="62">
        <f>'Нормальный закон'!E61</f>
        <v/>
      </c>
      <c r="E26" s="55" t="inlineStr"/>
    </row>
    <row r="27">
      <c r="A27" s="58" t="inlineStr">
        <is>
          <t>4.5</t>
        </is>
      </c>
      <c r="B27" s="58" t="inlineStr">
        <is>
          <t>Нормальный</t>
        </is>
      </c>
      <c r="C27" s="59" t="inlineStr">
        <is>
          <t>Q(3000 ч)</t>
        </is>
      </c>
      <c r="D27" s="63">
        <f>'Нормальный закон'!D61</f>
        <v/>
      </c>
      <c r="E27" s="58" t="inlineStr"/>
    </row>
    <row r="28">
      <c r="A28" s="55" t="inlineStr">
        <is>
          <t>4.5</t>
        </is>
      </c>
      <c r="B28" s="55" t="inlineStr">
        <is>
          <t>Нормальный</t>
        </is>
      </c>
      <c r="C28" s="56" t="inlineStr">
        <is>
          <t>λ(3000 ч)</t>
        </is>
      </c>
      <c r="D28" s="65">
        <f>'Нормальный закон'!G61</f>
        <v/>
      </c>
      <c r="E28" s="55" t="inlineStr">
        <is>
          <t>1/ч</t>
        </is>
      </c>
    </row>
    <row r="29">
      <c r="A29" s="58" t="inlineStr">
        <is>
          <t>4.5</t>
        </is>
      </c>
      <c r="B29" s="58" t="inlineStr">
        <is>
          <t>Нормальный</t>
        </is>
      </c>
      <c r="C29" s="59" t="inlineStr">
        <is>
          <t>средний ресурс Mt</t>
        </is>
      </c>
      <c r="D29" s="60">
        <f>'Нормальный закон'!C62</f>
        <v/>
      </c>
      <c r="E29" s="58" t="inlineStr">
        <is>
          <t>ч</t>
        </is>
      </c>
    </row>
    <row r="30">
      <c r="A30" s="55" t="inlineStr">
        <is>
          <t>4.6</t>
        </is>
      </c>
      <c r="B30" s="55" t="inlineStr">
        <is>
          <t>Нормальный</t>
        </is>
      </c>
      <c r="C30" s="56" t="inlineStr">
        <is>
          <t>отказавших задвижек в интервале 1500–3000 ч</t>
        </is>
      </c>
      <c r="D30" s="66">
        <f>'Нормальный закон'!C82</f>
        <v/>
      </c>
      <c r="E30" s="55" t="inlineStr">
        <is>
          <t>шт</t>
        </is>
      </c>
    </row>
    <row r="31">
      <c r="A31" s="58" t="inlineStr">
        <is>
          <t>4.7</t>
        </is>
      </c>
      <c r="B31" s="58" t="inlineStr">
        <is>
          <t>Нормальный</t>
        </is>
      </c>
      <c r="C31" s="59" t="inlineStr">
        <is>
          <t>отказавших долот в интервале 200–250 ч</t>
        </is>
      </c>
      <c r="D31" s="67">
        <f>'Нормальный закон'!C102</f>
        <v/>
      </c>
      <c r="E31" s="58" t="inlineStr">
        <is>
          <t>шт</t>
        </is>
      </c>
    </row>
    <row r="32">
      <c r="A32" s="55" t="inlineStr">
        <is>
          <t>4.8</t>
        </is>
      </c>
      <c r="B32" s="55" t="inlineStr">
        <is>
          <t>Экспоненциальный</t>
        </is>
      </c>
      <c r="C32" s="56" t="inlineStr">
        <is>
          <t>число отказавших изделий при t = 9000 ч</t>
        </is>
      </c>
      <c r="D32" s="66">
        <f>'Экспоненциальный закон'!C14</f>
        <v/>
      </c>
      <c r="E32" s="55" t="inlineStr">
        <is>
          <t>шт</t>
        </is>
      </c>
    </row>
    <row r="33">
      <c r="A33" s="58" t="inlineStr">
        <is>
          <t>4.8</t>
        </is>
      </c>
      <c r="B33" s="58" t="inlineStr">
        <is>
          <t>Экспоненциальный</t>
        </is>
      </c>
      <c r="C33" s="59" t="inlineStr">
        <is>
          <t>P(9000 ч)</t>
        </is>
      </c>
      <c r="D33" s="68">
        <f>'Экспоненциальный закон'!C15</f>
        <v/>
      </c>
      <c r="E33" s="58" t="inlineStr"/>
    </row>
    <row r="34">
      <c r="A34" s="55" t="inlineStr">
        <is>
          <t>4.8</t>
        </is>
      </c>
      <c r="B34" s="55" t="inlineStr">
        <is>
          <t>Экспоненциальный</t>
        </is>
      </c>
      <c r="C34" s="56" t="inlineStr">
        <is>
          <t>Q(9000 ч)</t>
        </is>
      </c>
      <c r="D34" s="69">
        <f>'Экспоненциальный закон'!C16</f>
        <v/>
      </c>
      <c r="E34" s="55" t="inlineStr"/>
    </row>
    <row r="35">
      <c r="A35" s="58" t="inlineStr">
        <is>
          <t>4.8</t>
        </is>
      </c>
      <c r="B35" s="58" t="inlineStr">
        <is>
          <t>Экспоненциальный</t>
        </is>
      </c>
      <c r="C35" s="59" t="inlineStr">
        <is>
          <t>λ(t)</t>
        </is>
      </c>
      <c r="D35" s="64">
        <f>'Экспоненциальный закон'!C17</f>
        <v/>
      </c>
      <c r="E35" s="58" t="inlineStr">
        <is>
          <t>1/ч</t>
        </is>
      </c>
    </row>
    <row r="36">
      <c r="A36" s="55" t="inlineStr">
        <is>
          <t>4.9</t>
        </is>
      </c>
      <c r="B36" s="55" t="inlineStr">
        <is>
          <t>Нормальный</t>
        </is>
      </c>
      <c r="C36" s="56" t="inlineStr">
        <is>
          <t>вероятность отказа Q(1500 ч)</t>
        </is>
      </c>
      <c r="D36" s="70">
        <f>'Нормальный закон'!C113</f>
        <v/>
      </c>
      <c r="E36" s="55" t="inlineStr"/>
    </row>
    <row r="37">
      <c r="A37" s="58" t="inlineStr">
        <is>
          <t>4.10</t>
        </is>
      </c>
      <c r="B37" s="58" t="inlineStr">
        <is>
          <t>Нормальный</t>
        </is>
      </c>
      <c r="C37" s="59" t="inlineStr">
        <is>
          <t>вероятность отказа Q(1200 ч)</t>
        </is>
      </c>
      <c r="D37" s="64">
        <f>'Нормальный закон'!C125</f>
        <v/>
      </c>
      <c r="E37" s="58" t="inlineStr"/>
    </row>
    <row r="38">
      <c r="A38" s="55" t="inlineStr">
        <is>
          <t>4.10</t>
        </is>
      </c>
      <c r="B38" s="55" t="inlineStr">
        <is>
          <t>Нормальный</t>
        </is>
      </c>
      <c r="C38" s="56" t="inlineStr">
        <is>
          <t>Mt (характеристика распределения)</t>
        </is>
      </c>
      <c r="D38" s="71">
        <f>'Нормальный закон'!C126</f>
        <v/>
      </c>
      <c r="E38" s="55" t="inlineStr">
        <is>
          <t>ч</t>
        </is>
      </c>
    </row>
    <row r="39">
      <c r="A39" s="58" t="inlineStr">
        <is>
          <t>4.10</t>
        </is>
      </c>
      <c r="B39" s="58" t="inlineStr">
        <is>
          <t>Нормальный</t>
        </is>
      </c>
      <c r="C39" s="59" t="inlineStr">
        <is>
          <t>σt (характеристика распределения)</t>
        </is>
      </c>
      <c r="D39" s="72">
        <f>'Нормальный закон'!C127</f>
        <v/>
      </c>
      <c r="E39" s="58" t="inlineStr">
        <is>
          <t>ч</t>
        </is>
      </c>
    </row>
    <row r="40">
      <c r="A40" s="55" t="inlineStr">
        <is>
          <t>4.11</t>
        </is>
      </c>
      <c r="B40" s="55" t="inlineStr">
        <is>
          <t>Вейбулла</t>
        </is>
      </c>
      <c r="C40" s="56" t="inlineStr">
        <is>
          <t>P(100 ч)</t>
        </is>
      </c>
      <c r="D40" s="62">
        <f>'Закон Вейбулла'!C16</f>
        <v/>
      </c>
      <c r="E40" s="55" t="inlineStr"/>
    </row>
    <row r="41">
      <c r="A41" s="58" t="inlineStr">
        <is>
          <t>4.11</t>
        </is>
      </c>
      <c r="B41" s="58" t="inlineStr">
        <is>
          <t>Вейбулла</t>
        </is>
      </c>
      <c r="C41" s="59" t="inlineStr">
        <is>
          <t>Q(100 ч)</t>
        </is>
      </c>
      <c r="D41" s="63">
        <f>'Закон Вейбулла'!C17</f>
        <v/>
      </c>
      <c r="E41" s="58" t="inlineStr"/>
    </row>
    <row r="42">
      <c r="A42" s="55" t="inlineStr">
        <is>
          <t>4.11</t>
        </is>
      </c>
      <c r="B42" s="55" t="inlineStr">
        <is>
          <t>Вейбулла</t>
        </is>
      </c>
      <c r="C42" s="56" t="inlineStr">
        <is>
          <t>f(100 ч)</t>
        </is>
      </c>
      <c r="D42" s="65">
        <f>'Закон Вейбулла'!C18</f>
        <v/>
      </c>
      <c r="E42" s="55" t="inlineStr">
        <is>
          <t>1/ч</t>
        </is>
      </c>
    </row>
    <row r="43">
      <c r="A43" s="58" t="inlineStr">
        <is>
          <t>4.11</t>
        </is>
      </c>
      <c r="B43" s="58" t="inlineStr">
        <is>
          <t>Вейбулла</t>
        </is>
      </c>
      <c r="C43" s="59" t="inlineStr">
        <is>
          <t>λ(100 ч)</t>
        </is>
      </c>
      <c r="D43" s="64">
        <f>'Закон Вейбулла'!C19</f>
        <v/>
      </c>
      <c r="E43" s="58" t="inlineStr">
        <is>
          <t>1/ч</t>
        </is>
      </c>
    </row>
    <row r="44">
      <c r="A44" s="55" t="inlineStr">
        <is>
          <t>4.11</t>
        </is>
      </c>
      <c r="B44" s="55" t="inlineStr">
        <is>
          <t>Вейбулла</t>
        </is>
      </c>
      <c r="C44" s="56" t="inlineStr">
        <is>
          <t>средняя наработка Mt</t>
        </is>
      </c>
      <c r="D44" s="57">
        <f>'Закон Вейбулла'!C20</f>
        <v/>
      </c>
      <c r="E44" s="55" t="inlineStr">
        <is>
          <t>ч</t>
        </is>
      </c>
    </row>
    <row r="45">
      <c r="A45" s="58" t="inlineStr">
        <is>
          <t>4.11</t>
        </is>
      </c>
      <c r="B45" s="58" t="inlineStr">
        <is>
          <t>Вейбулла</t>
        </is>
      </c>
      <c r="C45" s="59" t="inlineStr">
        <is>
          <t>СКО σt</t>
        </is>
      </c>
      <c r="D45" s="60">
        <f>'Закон Вейбулла'!C21</f>
        <v/>
      </c>
      <c r="E45" s="58" t="inlineStr">
        <is>
          <t>ч</t>
        </is>
      </c>
    </row>
    <row r="46">
      <c r="A46" s="55" t="inlineStr">
        <is>
          <t>4.11</t>
        </is>
      </c>
      <c r="B46" s="55" t="inlineStr">
        <is>
          <t>Вейбулла</t>
        </is>
      </c>
      <c r="C46" s="56" t="inlineStr">
        <is>
          <t>коэффициент вариации v</t>
        </is>
      </c>
      <c r="D46" s="62">
        <f>'Закон Вейбулла'!C22</f>
        <v/>
      </c>
      <c r="E46" s="55" t="inlineStr"/>
    </row>
    <row r="47">
      <c r="A47" s="58" t="inlineStr">
        <is>
          <t>4.12</t>
        </is>
      </c>
      <c r="B47" s="58" t="inlineStr">
        <is>
          <t>Экспоненциальный</t>
        </is>
      </c>
      <c r="C47" s="59" t="inlineStr">
        <is>
          <t>интенсивность отказов λ(120 ч)</t>
        </is>
      </c>
      <c r="D47" s="68">
        <f>'Экспоненциальный закон'!C27</f>
        <v/>
      </c>
      <c r="E47" s="58" t="inlineStr">
        <is>
          <t>1/ч</t>
        </is>
      </c>
    </row>
    <row r="48">
      <c r="A48" s="55" t="inlineStr">
        <is>
          <t>4.12</t>
        </is>
      </c>
      <c r="B48" s="55" t="inlineStr">
        <is>
          <t>Экспоненциальный</t>
        </is>
      </c>
      <c r="C48" s="56" t="inlineStr">
        <is>
          <t>среднее время безотказной работы Mt</t>
        </is>
      </c>
      <c r="D48" s="57">
        <f>'Экспоненциальный закон'!C28</f>
        <v/>
      </c>
      <c r="E48" s="55" t="inlineStr">
        <is>
          <t>ч</t>
        </is>
      </c>
    </row>
    <row r="49">
      <c r="A49" s="58" t="inlineStr">
        <is>
          <t>4.13</t>
        </is>
      </c>
      <c r="B49" s="58" t="inlineStr">
        <is>
          <t>Экспоненциальный</t>
        </is>
      </c>
      <c r="C49" s="59" t="inlineStr">
        <is>
          <t>P(120 ч)</t>
        </is>
      </c>
      <c r="D49" s="63">
        <f>'Экспоненциальный закон'!C37</f>
        <v/>
      </c>
      <c r="E49" s="58" t="inlineStr"/>
    </row>
    <row r="50">
      <c r="A50" s="55" t="inlineStr">
        <is>
          <t>4.13</t>
        </is>
      </c>
      <c r="B50" s="55" t="inlineStr">
        <is>
          <t>Экспоненциальный</t>
        </is>
      </c>
      <c r="C50" s="56" t="inlineStr">
        <is>
          <t>частота отказов f(120 ч)</t>
        </is>
      </c>
      <c r="D50" s="69">
        <f>'Экспоненциальный закон'!C38</f>
        <v/>
      </c>
      <c r="E50" s="55" t="inlineStr">
        <is>
          <t>1/ч</t>
        </is>
      </c>
    </row>
    <row r="51">
      <c r="A51" s="58" t="inlineStr">
        <is>
          <t>4.13</t>
        </is>
      </c>
      <c r="B51" s="58" t="inlineStr">
        <is>
          <t>Экспоненциальный</t>
        </is>
      </c>
      <c r="C51" s="59" t="inlineStr">
        <is>
          <t>интенсивность отказов λ</t>
        </is>
      </c>
      <c r="D51" s="68">
        <f>'Экспоненциальный закон'!C39</f>
        <v/>
      </c>
      <c r="E51" s="58" t="inlineStr">
        <is>
          <t>1/ч</t>
        </is>
      </c>
    </row>
    <row r="52">
      <c r="A52" s="55" t="inlineStr">
        <is>
          <t>4.14</t>
        </is>
      </c>
      <c r="B52" s="55" t="inlineStr">
        <is>
          <t>Вейбулла</t>
        </is>
      </c>
      <c r="C52" s="56" t="inlineStr">
        <is>
          <t>P(150 ч)</t>
        </is>
      </c>
      <c r="D52" s="69">
        <f>'Закон Вейбулла'!C39</f>
        <v/>
      </c>
      <c r="E52" s="55" t="inlineStr"/>
    </row>
    <row r="53">
      <c r="A53" s="58" t="inlineStr">
        <is>
          <t>4.14</t>
        </is>
      </c>
      <c r="B53" s="58" t="inlineStr">
        <is>
          <t>Вейбулла</t>
        </is>
      </c>
      <c r="C53" s="59" t="inlineStr">
        <is>
          <t>Q(150 ч)</t>
        </is>
      </c>
      <c r="D53" s="68">
        <f>'Закон Вейбулла'!C40</f>
        <v/>
      </c>
      <c r="E53" s="58" t="inlineStr"/>
    </row>
    <row r="54">
      <c r="A54" s="55" t="inlineStr">
        <is>
          <t>4.14</t>
        </is>
      </c>
      <c r="B54" s="55" t="inlineStr">
        <is>
          <t>Вейбулла</t>
        </is>
      </c>
      <c r="C54" s="56" t="inlineStr">
        <is>
          <t>f(150 ч)</t>
        </is>
      </c>
      <c r="D54" s="65">
        <f>'Закон Вейбулла'!C41</f>
        <v/>
      </c>
      <c r="E54" s="55" t="inlineStr">
        <is>
          <t>1/ч</t>
        </is>
      </c>
    </row>
    <row r="55">
      <c r="A55" s="58" t="inlineStr">
        <is>
          <t>4.14</t>
        </is>
      </c>
      <c r="B55" s="58" t="inlineStr">
        <is>
          <t>Вейбулла</t>
        </is>
      </c>
      <c r="C55" s="59" t="inlineStr">
        <is>
          <t>λ(150 ч)</t>
        </is>
      </c>
      <c r="D55" s="64">
        <f>'Закон Вейбулла'!C42</f>
        <v/>
      </c>
      <c r="E55" s="58" t="inlineStr">
        <is>
          <t>1/ч</t>
        </is>
      </c>
    </row>
    <row r="56">
      <c r="A56" s="55" t="inlineStr">
        <is>
          <t>4.14</t>
        </is>
      </c>
      <c r="B56" s="55" t="inlineStr">
        <is>
          <t>Вейбулла</t>
        </is>
      </c>
      <c r="C56" s="56" t="inlineStr">
        <is>
          <t>средняя наработка Mt</t>
        </is>
      </c>
      <c r="D56" s="57">
        <f>'Закон Вейбулла'!C43</f>
        <v/>
      </c>
      <c r="E56" s="55" t="inlineStr">
        <is>
          <t>ч</t>
        </is>
      </c>
    </row>
    <row r="57">
      <c r="A57" s="58" t="inlineStr">
        <is>
          <t>4.14</t>
        </is>
      </c>
      <c r="B57" s="58" t="inlineStr">
        <is>
          <t>Вейбулла</t>
        </is>
      </c>
      <c r="C57" s="59" t="inlineStr">
        <is>
          <t>СКО σt</t>
        </is>
      </c>
      <c r="D57" s="60">
        <f>'Закон Вейбулла'!C44</f>
        <v/>
      </c>
      <c r="E57" s="58" t="inlineStr">
        <is>
          <t>ч</t>
        </is>
      </c>
    </row>
    <row r="58">
      <c r="A58" s="55" t="inlineStr">
        <is>
          <t>4.14</t>
        </is>
      </c>
      <c r="B58" s="55" t="inlineStr">
        <is>
          <t>Вейбулла</t>
        </is>
      </c>
      <c r="C58" s="56" t="inlineStr">
        <is>
          <t>коэффициент вариации v</t>
        </is>
      </c>
      <c r="D58" s="62">
        <f>'Закон Вейбулла'!C45</f>
        <v/>
      </c>
      <c r="E58" s="55" t="inlineStr"/>
    </row>
    <row r="59">
      <c r="A59" s="58" t="inlineStr">
        <is>
          <t>4.15</t>
        </is>
      </c>
      <c r="B59" s="58" t="inlineStr">
        <is>
          <t>Нормальный</t>
        </is>
      </c>
      <c r="C59" s="59" t="inlineStr">
        <is>
          <t>P(1300 ч)</t>
        </is>
      </c>
      <c r="D59" s="63">
        <f>'Нормальный закон'!C136</f>
        <v/>
      </c>
      <c r="E59" s="58" t="inlineStr"/>
    </row>
    <row r="60">
      <c r="A60" s="55" t="inlineStr">
        <is>
          <t>4.15</t>
        </is>
      </c>
      <c r="B60" s="55" t="inlineStr">
        <is>
          <t>Нормальный</t>
        </is>
      </c>
      <c r="C60" s="56" t="inlineStr">
        <is>
          <t>λ(1300 ч)</t>
        </is>
      </c>
      <c r="D60" s="65">
        <f>'Нормальный закон'!C137</f>
        <v/>
      </c>
      <c r="E60" s="55" t="inlineStr">
        <is>
          <t>1/ч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20" customWidth="1" min="3" max="3"/>
  </cols>
  <sheetData>
    <row r="1">
      <c r="A1" s="53" t="inlineStr">
        <is>
          <t>Ответы на контрольные вопросы</t>
        </is>
      </c>
    </row>
    <row r="3">
      <c r="A3" s="73" t="inlineStr">
        <is>
          <t>№</t>
        </is>
      </c>
      <c r="B3" s="73" t="inlineStr">
        <is>
          <t>Вопрос</t>
        </is>
      </c>
      <c r="C3" s="73" t="inlineStr">
        <is>
          <t>Ответ</t>
        </is>
      </c>
    </row>
    <row r="4" ht="68" customHeight="1">
      <c r="A4" s="74" t="n">
        <v>1</v>
      </c>
      <c r="B4" s="75" t="inlineStr">
        <is>
          <t>Что представляет собой закон распределения случайной величины?</t>
        </is>
      </c>
      <c r="C4" s="75" t="inlineStr">
        <is>
          <t>Закон распределения — это правило, которое каждому возможному значению случайной величины (или интервалу значений) ставит в соответствие вероятность. Для наработки T до отказа его выражают функцией распределения F(t) = P(T &lt; t), совпадающей с вероятностью отказа Q(t), либо плотностью f(t) = dF/dt (частотой отказов). Зная закон, можно найти все остальные показатели: P(t) = 1 − F(t); λ(t) = f(t)/P(t); Mt = ∫P(t)dt от 0 до ∞.</t>
        </is>
      </c>
    </row>
    <row r="5" ht="83.5" customHeight="1">
      <c r="A5" s="74" t="n">
        <v>2</v>
      </c>
      <c r="B5" s="75" t="inlineStr">
        <is>
          <t>Для расчёта каких показателей и технических систем применяется нормальный закон распределения?</t>
        </is>
      </c>
      <c r="C5" s="75" t="inlineStr">
        <is>
          <t>Нормальный закон (закон Гаусса) уместен, когда отказ наступает как итог суммирования множества малых независимых воздействий, а разброс ресурса симметричен относительно среднего: износ, усталость, старение, коррозия. Обычно он адекватен при коэффициенте вариации v = σt/Mt менее 0,3. Типичные объекты — подшипники, зубчатые и ременные передачи, тормозные колодки, режущий инструмент, а в ИТ — вентиляторы, жёсткие диски, аккумуляторы ИБП. Рассчитывают Mt, σt, P(t), Q(t), f(t), λ(t), а также гарантированный (γ-процентный) ресурс.</t>
        </is>
      </c>
    </row>
    <row r="6" ht="68" customHeight="1">
      <c r="A6" s="74" t="n">
        <v>3</v>
      </c>
      <c r="B6" s="75" t="inlineStr">
        <is>
          <t>Расчёт показателей надёжности, подчиняющихся нормальному закону распределения.</t>
        </is>
      </c>
      <c r="C6" s="75" t="inlineStr">
        <is>
          <t>Исходные параметры — Mt и σt (или v = σt/Mt). Сначала находят квантиль Uр = (t − Mt)/σt. Затем Q(t) = Φ(Uр) и P(t) = 1 − Φ(Uр) = Φ(−Uр), где Φ — функция нормированного нормального распределения (в Excel НОРМСТРАСП / NORMSDIST или НОРМРАСП / NORMDIST). Плотность f(t) = φ(Uр)/σt, интенсивность отказов λ(t) = f(t)/P(t). Обратная задача: по заданной Q находят Uр = НОРМСТОБР(Q) и t = Mt + Uр·σt (задача 4.1). Примеры: 4.1–4.7, 4.9, 4.10, 4.15.</t>
        </is>
      </c>
    </row>
    <row r="7" ht="83.5" customHeight="1">
      <c r="A7" s="74" t="n">
        <v>4</v>
      </c>
      <c r="B7" s="75" t="inlineStr">
        <is>
          <t>Для расчёта каких показателей и технических систем применяется экспоненциальный закон распределения?</t>
        </is>
      </c>
      <c r="C7" s="75" t="inlineStr">
        <is>
          <t>Экспоненциальный закон описывает внезапные отказы при постоянной интенсивности λ = const, то есть период нормальной эксплуатации — после приработки и до начала старения. Применим к радиоэлектронным и электронным элементам, сложным системам из большого числа разнородных элементов, восстанавливаемым объектам с простейшим потоком отказов. В ИТ: серверы, сетевое оборудование, платы и блоки питания в «середине жизни». Свойство отсутствия последействия: вероятность безотказной работы на интервале не зависит от того, как долго объект уже работал.</t>
        </is>
      </c>
    </row>
    <row r="8" ht="68" customHeight="1">
      <c r="A8" s="74" t="n">
        <v>5</v>
      </c>
      <c r="B8" s="75" t="inlineStr">
        <is>
          <t>Расчёт показателей надёжности, подчиняющихся экспоненциальному закону распределения.</t>
        </is>
      </c>
      <c r="C8" s="75" t="inlineStr">
        <is>
          <t>P(t) = exp(−λt); Q(t) = 1 − exp(−λt); f(t) = λ·exp(−λt); λ(t) = λ = const; Mt = 1/λ; σt = 1/λ, поэтому v = 1. При λt &lt; 0,1 допустимо приближение P(t) ≈ 1 − λt. Если известна вероятность P(t₀), то λ = −ln P(t₀)/t₀ (задача 4.12); если известна средняя наработка, то λ = 1/Mt (задача 4.13). Для «экспоненты со сдвигом» (задача 4.8) время отсчитывают от порога t₀: P(t) = exp(−λ(t − t₀)).</t>
        </is>
      </c>
    </row>
    <row r="9" ht="68" customHeight="1">
      <c r="A9" s="74" t="n">
        <v>6</v>
      </c>
      <c r="B9" s="75" t="inlineStr">
        <is>
          <t>Для расчёта каких показателей и технических систем применяется закон распределения Вейбулла?</t>
        </is>
      </c>
      <c r="C9" s="75" t="inlineStr">
        <is>
          <t>Закон Вейбулла — гибкая двухпараметрическая модель, в которой параметр формы α определяет характер отказов: α &lt; 1 — приработка (λ(t) убывает), α = 1 — нормальная работа (переходит в экспоненциальный закон), α &gt; 1 — износ и старение (λ(t) растёт). Применяется для подшипников, деталей, разрушающихся от усталости, полупроводниковых и электровакуумных приборов, механических узлов, а также при обработке малой выборки отказов.</t>
        </is>
      </c>
    </row>
    <row r="10" ht="52.5" customHeight="1">
      <c r="A10" s="74" t="n">
        <v>7</v>
      </c>
      <c r="B10" s="75" t="inlineStr">
        <is>
          <t>Расчёт показателей надёжности, подчиняющихся закону распределения Вейбулла.</t>
        </is>
      </c>
      <c r="C10" s="75" t="inlineStr">
        <is>
          <t>Параметры: α (форма) и λ (масштаб). P(t) = exp(−λ·t^α); Q(t) = 1 − P(t); λ(t) = λ·α·t^(α−1); f(t) = λ(t)·P(t). Средняя наработка Mt = Γ(1 + 1/α)/λ^(1/α); дисперсия σt² = [Γ(1 + 2/α) − Γ²(1 + 1/α)]/λ^(2/α). В Excel гамма-функцию получают как EXP(ГАММАНЛОГ(x)). Примеры — задачи 4.11 и 4.14.</t>
        </is>
      </c>
    </row>
    <row r="11" ht="68" customHeight="1">
      <c r="A11" s="74" t="n">
        <v>8</v>
      </c>
      <c r="B11" s="75" t="inlineStr">
        <is>
          <t>Для расчёта каких показателей и технических систем применяется гамма-распределение?</t>
        </is>
      </c>
      <c r="C11" s="75" t="inlineStr">
        <is>
          <t>Гамма-распределение описывает время до k-го события, например наработку до k-го отказа или наработку системы с резервированием замещением (основной элемент и k − 1 резервных с одинаковой λ). При целом k его называют распределением Эрланга, при k = 1 оно вырождается в экспоненциальное. Применяют для резервированных систем, ремонтируемых изделий и при описании времени восстановления.</t>
        </is>
      </c>
    </row>
    <row r="12" ht="52.5" customHeight="1">
      <c r="A12" s="74" t="n">
        <v>9</v>
      </c>
      <c r="B12" s="75" t="inlineStr">
        <is>
          <t>Расчёт показателей надёжности, подчиняющихся гамма-распределению.</t>
        </is>
      </c>
      <c r="C12" s="75" t="inlineStr">
        <is>
          <t>Параметры: k (форма) и λ (масштаб). Плотность f(t) = λ^k·t^(k−1)·exp(−λt)/Γ(k). Вероятность отказа Q(t) в Excel — ГАММАРАСП(t; k; 1/λ; ИСТИНА) (GAMMADIST), P(t) = 1 − Q(t). Для целого k: P(t) = exp(−λt)·Σ(λt)^i/i!, i = 0…k−1. Mt = k/λ; σt² = k/λ²; v = 1/√k; λ(t) = f(t)/P(t).</t>
        </is>
      </c>
    </row>
    <row r="13" ht="52.5" customHeight="1">
      <c r="A13" s="74" t="n">
        <v>10</v>
      </c>
      <c r="B13" s="75" t="inlineStr">
        <is>
          <t>Для расчёта каких показателей и технических систем применяется логарифмически нормальное распределение?</t>
        </is>
      </c>
      <c r="C13" s="75" t="inlineStr">
        <is>
          <t>Логарифмически нормальное распределение применяют, когда нормально распределён не сам ресурс, а его логарифм. Это характерно для усталостных разрушений, износа при накоплении повреждений, коррозии, старения изоляции, отказов полупроводниковых приборов, а также для времени ремонта оборудования. Оно подходит для величин с асимметрией и «тяжёлым» правым хвостом.</t>
        </is>
      </c>
    </row>
    <row r="14" ht="52.5" customHeight="1">
      <c r="A14" s="74" t="n">
        <v>11</v>
      </c>
      <c r="B14" s="75" t="inlineStr">
        <is>
          <t>Расчёт показателей надёжности, подчиняющихся логарифмически нормальному распределению.</t>
        </is>
      </c>
      <c r="C14" s="75" t="inlineStr">
        <is>
          <t>Параметры: μ и σ — среднее и СКО натурального логарифма наработки. Квантиль U = (ln t − μ)/σ; Q(t) = Φ(U), P(t) = 1 − Φ(U); в Excel ЛОГНОРМРАСП(t; μ; σ) (LOGNORMDIST). Плотность f(t) = exp(−(ln t − μ)²/(2σ²))/(σ·t·√(2π)); λ(t) = f(t)/P(t). Mt = exp(μ + σ²/2); σt² = (exp(σ²) − 1)·exp(2μ + σ²).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2026-10-27T14:06:57Z</dcterms:created>
  <dcterms:modified xmlns:dcterms="http://purl.org/dc/terms/" xmlns:xsi="http://www.w3.org/2001/XMLSchema-instance" xsi:type="dcterms:W3CDTF">2026-10-27T14:06:57Z</dcterms:modified>
</cp:coreProperties>
</file>